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Relationships>
</file>

<file path=xl/workbook.xml><?xml version="1.0" encoding="utf-8"?>
<workbook xmlns="http://schemas.openxmlformats.org/spreadsheetml/2006/main" xmlns:r="http://schemas.openxmlformats.org/officeDocument/2006/relationships">
  <workbookPr date1904="0"/>
  <sheets>
    <sheet name="All 17 saved engineering invest" sheetId="1" r:id="rId1"/>
    <sheet name="Two successful model smoke call" sheetId="2" r:id="rId2"/>
    <sheet name="Five rejected Bedrock access pr" sheetId="3" r:id="rId3"/>
    <sheet name="Observed gateway rate metadata" sheetId="4" r:id="rId4"/>
    <sheet name="Engineering costs — observed su" sheetId="5" r:id="rId5"/>
    <sheet name="Model inputs" sheetId="6" r:id="rId6"/>
  </sheets>
  <calcPr calcMode="auto" fullCalcOnLoad="1" forceFullCalc="1"/>
</workbook>
</file>

<file path=xl/styles.xml><?xml version="1.0" encoding="utf-8"?>
<styleSheet xmlns="http://schemas.openxmlformats.org/spreadsheetml/2006/main">
  <numFmts count="5">
    <numFmt numFmtId="164" formatCode="#,##0.###;(#,##0.###)"/>
    <numFmt numFmtId="165" formatCode="#,##0;(#,##0)"/>
    <numFmt numFmtId="166" formatCode="#,##0.000;(#,##0.000)"/>
    <numFmt numFmtId="167" formatCode="#,##0.00000;(#,##0.00000)"/>
    <numFmt numFmtId="168" formatCode="#,##0.0000;(#,##0.0000)"/>
  </numFmts>
  <fonts count="4">
    <font>
      <sz val="10"/>
      <color rgb="FF352F29"/>
      <name val="Aptos"/>
    </font>
    <font>
      <b/>
      <sz val="16"/>
      <color rgb="FFFFFFFF"/>
      <name val="Aptos"/>
    </font>
    <font>
      <sz val="9"/>
      <color rgb="FF817B73"/>
      <name val="Aptos"/>
    </font>
    <font>
      <b/>
      <sz val="10"/>
      <color rgb="FF352F29"/>
      <name val="Aptos"/>
    </font>
  </fonts>
  <fills count="6">
    <fill>
      <patternFill patternType="none"/>
    </fill>
    <fill>
      <patternFill patternType="gray125"/>
    </fill>
    <fill>
      <patternFill patternType="solid">
        <fgColor rgb="FF352F29"/>
        <bgColor indexed="64"/>
      </patternFill>
    </fill>
    <fill>
      <patternFill patternType="solid">
        <fgColor rgb="FFF0EDE8"/>
        <bgColor indexed="64"/>
      </patternFill>
    </fill>
    <fill>
      <patternFill patternType="solid">
        <fgColor rgb="FFF5F2EC"/>
        <bgColor indexed="64"/>
      </patternFill>
    </fill>
    <fill>
      <patternFill patternType="solid">
        <fgColor rgb="FFF7F9FC"/>
        <bgColor indexed="64"/>
      </patternFill>
    </fill>
  </fills>
  <borders count="2">
    <border>
      <left/>
      <right/>
      <top/>
      <bottom/>
      <diagonal/>
    </border>
    <border>
      <left/>
      <right/>
      <top/>
      <bottom style="thin">
        <color rgb="FFE7E3DD"/>
      </bottom>
      <diagonal/>
    </border>
  </borders>
  <cellStyleXfs count="1">
    <xf numFmtId="0" fontId="0" fillId="0" borderId="0"/>
  </cellStyleXfs>
  <cellXfs count="20">
    <xf numFmtId="0" fontId="0" fillId="0" borderId="0" xfId="0"/>
    <xf numFmtId="0" fontId="1" fillId="2" borderId="0" xfId="0" applyFill="1" applyFont="1" applyAlignment="1">
      <alignment vertical="center" horizontal="left" indent="1"/>
    </xf>
    <xf numFmtId="0" fontId="2" fillId="0" borderId="0" xfId="0" applyFont="1"/>
    <xf numFmtId="0" fontId="3" fillId="3" borderId="1" xfId="0" applyFill="1" applyFont="1" applyBorder="1" applyAlignment="1">
      <alignment vertical="center" horizontal="left"/>
    </xf>
    <xf numFmtId="0" fontId="3" fillId="3" borderId="1" xfId="0" applyFill="1" applyFont="1" applyBorder="1" applyAlignment="1">
      <alignment vertical="center" horizontal="right"/>
    </xf>
    <xf numFmtId="0" fontId="3" fillId="4" borderId="1" xfId="0" applyFill="1" applyFont="1" applyBorder="1" applyAlignment="1">
      <alignment vertical="center" horizontal="left"/>
    </xf>
    <xf numFmtId="164" fontId="3" fillId="4" borderId="1" xfId="0" applyNumberFormat="1" applyFill="1" applyFont="1" applyBorder="1" applyAlignment="1">
      <alignment vertical="center" horizontal="right"/>
    </xf>
    <xf numFmtId="165" fontId="3" fillId="4" borderId="1" xfId="0" applyNumberFormat="1" applyFill="1" applyFont="1" applyBorder="1" applyAlignment="1">
      <alignment vertical="center" horizontal="right"/>
    </xf>
    <xf numFmtId="166" fontId="3" fillId="4" borderId="1" xfId="0" applyNumberFormat="1" applyFill="1" applyFont="1" applyBorder="1" applyAlignment="1">
      <alignment vertical="center" horizontal="right"/>
    </xf>
    <xf numFmtId="167" fontId="3" fillId="4" borderId="1" xfId="0" applyNumberFormat="1" applyFill="1" applyFont="1" applyBorder="1" applyAlignment="1">
      <alignment vertical="center" horizontal="right"/>
    </xf>
    <xf numFmtId="0" fontId="0" fillId="0" borderId="0" xfId="0" applyAlignment="1">
      <alignment vertical="center" horizontal="left"/>
    </xf>
    <xf numFmtId="164" fontId="0" fillId="0" borderId="0" xfId="0" applyNumberFormat="1" applyAlignment="1">
      <alignment vertical="center" horizontal="right"/>
    </xf>
    <xf numFmtId="165" fontId="0" fillId="0" borderId="0" xfId="0" applyNumberFormat="1" applyAlignment="1">
      <alignment vertical="center" horizontal="right"/>
    </xf>
    <xf numFmtId="166" fontId="0" fillId="0" borderId="0" xfId="0" applyNumberFormat="1" applyAlignment="1">
      <alignment vertical="center" horizontal="right"/>
    </xf>
    <xf numFmtId="167" fontId="0" fillId="0" borderId="0" xfId="0" applyNumberFormat="1" applyAlignment="1">
      <alignment vertical="center" horizontal="right"/>
    </xf>
    <xf numFmtId="168" fontId="3" fillId="4" borderId="1" xfId="0" applyNumberFormat="1" applyFill="1" applyFont="1" applyBorder="1" applyAlignment="1">
      <alignment vertical="center" horizontal="right"/>
    </xf>
    <xf numFmtId="168" fontId="0" fillId="0" borderId="0" xfId="0" applyNumberFormat="1" applyAlignment="1">
      <alignment vertical="center" horizontal="right"/>
    </xf>
    <xf numFmtId="0" fontId="3" fillId="4" borderId="1" xfId="0" applyFill="1" applyFont="1" applyBorder="1"/>
    <xf numFmtId="0" fontId="3" fillId="5" borderId="0" xfId="0" applyFill="1" applyFont="1" applyAlignment="1">
      <alignment vertical="center" horizontal="left"/>
    </xf>
    <xf numFmtId="0" fontId="0" fillId="5" borderId="0" xfId="0" applyFill="1" applyAlignment="1">
      <alignment vertical="center" horizontal="left" indent="1"/>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worksheet" Target="worksheets/sheet3.xml"></Relationship><Relationship Id="rId4" Type="http://schemas.openxmlformats.org/officeDocument/2006/relationships/worksheet" Target="worksheets/sheet4.xml"></Relationship><Relationship Id="rId5" Type="http://schemas.openxmlformats.org/officeDocument/2006/relationships/worksheet" Target="worksheets/sheet5.xml"></Relationship><Relationship Id="rId6" Type="http://schemas.openxmlformats.org/officeDocument/2006/relationships/worksheet" Target="worksheets/sheet6.xml"></Relationship><Relationship Id="rId7" Type="http://schemas.openxmlformats.org/officeDocument/2006/relationships/styles" Target="styles.xml"></Relationship></Relationships>
</file>

<file path=xl/worksheets/sheet1.xml><?xml version="1.0" encoding="utf-8"?>
<worksheet xmlns="http://schemas.openxmlformats.org/spreadsheetml/2006/main">
  <dimension ref="A1:P21"/>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32" customHeight="1">
      <c r="A1" t="inlineStr" s="1">
        <is>
          <t xml:space="preserve">All 17 saved engineering investigations</t>
        </is>
      </c>
    </row>
    <row r="2" ht="20" customHeight="1">
      <c r="A2" t="inlineStr" s="2">
        <is>
          <t xml:space="preserve">Observed engineering evidence — 2026-10-12 · Main Scenario</t>
        </is>
      </c>
    </row>
    <row r="4" ht="22" customHeight="1">
      <c r="A4" t="inlineStr" s="3">
        <is>
          <t xml:space="preserve">Variable / dimension</t>
        </is>
      </c>
      <c r="B4" t="inlineStr" s="4">
        <is>
          <t xml:space="preserve">Engineering target</t>
        </is>
      </c>
      <c r="C4" t="inlineStr" s="4">
        <is>
          <t xml:space="preserve">Engineering outcome</t>
        </is>
      </c>
      <c r="D4" t="inlineStr" s="4">
        <is>
          <t xml:space="preserve">Engineering inference model</t>
        </is>
      </c>
      <c r="E4" t="inlineStr" s="4">
        <is>
          <t xml:space="preserve">Engineering run day</t>
        </is>
      </c>
      <c r="F4" t="inlineStr" s="4">
        <is>
          <t xml:space="preserve">Engineering input tokens</t>
        </is>
      </c>
      <c r="G4" t="inlineStr" s="4">
        <is>
          <t xml:space="preserve">Engineering output tokens</t>
        </is>
      </c>
      <c r="H4" t="inlineStr" s="4">
        <is>
          <t xml:space="preserve">Engineering elapsed seconds</t>
        </is>
      </c>
      <c r="I4" t="inlineStr" s="4">
        <is>
          <t xml:space="preserve">Engineering response-header gateway accounting USD</t>
        </is>
      </c>
      <c r="J4" t="inlineStr" s="4">
        <is>
          <t xml:space="preserve">Engineering header coverage</t>
        </is>
      </c>
      <c r="K4" t="inlineStr" s="4">
        <is>
          <t xml:space="preserve">Engineering source SHA</t>
        </is>
      </c>
      <c r="L4" t="inlineStr" s="4">
        <is>
          <t xml:space="preserve">Engineering original evidence files</t>
        </is>
      </c>
      <c r="M4" t="inlineStr" s="4">
        <is>
          <t xml:space="preserve">Engineering inference model coverage</t>
        </is>
      </c>
      <c r="N4" t="inlineStr" s="4">
        <is>
          <t xml:space="preserve">Engineering transport token coverage</t>
        </is>
      </c>
      <c r="O4" t="inlineStr" s="4">
        <is>
          <t xml:space="preserve">Engineering record count</t>
        </is>
      </c>
      <c r="P4" t="inlineStr" s="4">
        <is>
          <t xml:space="preserve">Engineering accounted header record</t>
        </is>
      </c>
    </row>
    <row r="5">
      <c r="A5" t="inlineStr" s="5">
        <is>
          <t xml:space="preserve">66349e06-fc57-4de9-836f-b0a0d7ca0584</t>
        </is>
      </c>
      <c r="B5" t="str" s="6">
        <f>"buggy"</f>
        <v>buggy</v>
      </c>
      <c r="C5" t="str" s="6">
        <f>"inconclusive"</f>
        <v>inconclusive</v>
      </c>
      <c r="D5" t="str" s="6">
        <f>"Unknown"</f>
        <v>Unknown</v>
      </c>
      <c r="E5" t="str" s="6">
        <f>"2026-10-11"</f>
        <v>2026-10-11</v>
      </c>
      <c r="F5" t="str" s="7">
        <f>""</f>
        <v/>
      </c>
      <c r="G5" t="str" s="7">
        <f>""</f>
        <v/>
      </c>
      <c r="H5" s="8">
        <f>3.43</f>
        <v>3.43</v>
      </c>
      <c r="I5" t="str" s="9">
        <f>""</f>
        <v/>
      </c>
      <c r="J5" t="str" s="6">
        <f>"Unknown"</f>
        <v>Unknown</v>
      </c>
      <c r="K5" t="str" s="6">
        <f>"Unknown"</f>
        <v>Unknown</v>
      </c>
      <c r="L5" t="str" s="6">
        <f>"66349e06-fc57-4de9-836f-b0a0d7ca0584: model-usage.json; verification.json; control-verification.json; report.md"</f>
        <v>66349e06-fc57-4de9-836f-b0a0d7ca0584: model-usage.json; verification.json; control-verification.json; report.md</v>
      </c>
      <c r="M5" t="str" s="6">
        <f>"Unknown"</f>
        <v>Unknown</v>
      </c>
      <c r="N5" t="str" s="6">
        <f>"Unknown/Unknown"</f>
        <v>Unknown/Unknown</v>
      </c>
      <c r="O5" s="6">
        <f>1</f>
        <v>1</v>
      </c>
      <c r="P5" s="6">
        <f>IF('All 17 saved engineering invest'!I5="",0,1)</f>
        <v>0</v>
      </c>
    </row>
    <row r="6">
      <c r="A6" t="inlineStr" s="10">
        <is>
          <t xml:space="preserve">e07bdfa3-c839-4e68-b784-640244403b2c</t>
        </is>
      </c>
      <c r="B6" t="str" s="11">
        <f>"buggy"</f>
        <v>buggy</v>
      </c>
      <c r="C6" t="str" s="11">
        <f>"inconclusive"</f>
        <v>inconclusive</v>
      </c>
      <c r="D6" t="str" s="11">
        <f>"Claude Sonnet 4.6"</f>
        <v>Claude Sonnet 4.6</v>
      </c>
      <c r="E6" t="str" s="11">
        <f>"2026-10-12"</f>
        <v>2026-10-12</v>
      </c>
      <c r="F6" s="12">
        <f>11259</f>
        <v>11259</v>
      </c>
      <c r="G6" s="12">
        <f>391</f>
        <v>391</v>
      </c>
      <c r="H6" s="13">
        <f>15.818</f>
        <v>15.818</v>
      </c>
      <c r="I6" t="str" s="14">
        <f>""</f>
        <v/>
      </c>
      <c r="J6" t="str" s="11">
        <f>"Unknown"</f>
        <v>Unknown</v>
      </c>
      <c r="K6" t="str" s="11">
        <f>"Unknown"</f>
        <v>Unknown</v>
      </c>
      <c r="L6" t="str" s="11">
        <f>"e07bdfa3-c839-4e68-b784-640244403b2c: model-usage.json; verification.json; control-verification.json; report.md"</f>
        <v>e07bdfa3-c839-4e68-b784-640244403b2c: model-usage.json; verification.json; control-verification.json; report.md</v>
      </c>
      <c r="M6" t="str" s="11">
        <f>"Claude Sonnet 4.6"</f>
        <v>Claude Sonnet 4.6</v>
      </c>
      <c r="N6" t="str" s="11">
        <f>"All recorded transport responses, including invalid responses"</f>
        <v>All recorded transport responses, including invalid responses</v>
      </c>
      <c r="O6" s="11">
        <f>1</f>
        <v>1</v>
      </c>
      <c r="P6" s="11">
        <f>IF('All 17 saved engineering invest'!I6="",0,1)</f>
        <v>0</v>
      </c>
    </row>
    <row r="7">
      <c r="A7" t="inlineStr" s="10">
        <is>
          <t xml:space="preserve">6992fe74-3395-430a-95ab-d73c207d70b6</t>
        </is>
      </c>
      <c r="B7" t="str" s="11">
        <f>"buggy"</f>
        <v>buggy</v>
      </c>
      <c r="C7" t="str" s="11">
        <f>"inconclusive"</f>
        <v>inconclusive</v>
      </c>
      <c r="D7" t="str" s="11">
        <f>"Claude Sonnet 4.6"</f>
        <v>Claude Sonnet 4.6</v>
      </c>
      <c r="E7" t="str" s="11">
        <f>"2026-10-12"</f>
        <v>2026-10-12</v>
      </c>
      <c r="F7" s="12">
        <f>8635</f>
        <v>8635</v>
      </c>
      <c r="G7" s="12">
        <f>328</f>
        <v>328</v>
      </c>
      <c r="H7" s="13">
        <f>10.446</f>
        <v>10.446</v>
      </c>
      <c r="I7" t="str" s="14">
        <f>""</f>
        <v/>
      </c>
      <c r="J7" t="str" s="11">
        <f>"Unknown"</f>
        <v>Unknown</v>
      </c>
      <c r="K7" t="str" s="11">
        <f>"Unknown"</f>
        <v>Unknown</v>
      </c>
      <c r="L7" t="str" s="11">
        <f>"6992fe74-3395-430a-95ab-d73c207d70b6: model-usage.json; verification.json; control-verification.json; report.md"</f>
        <v>6992fe74-3395-430a-95ab-d73c207d70b6: model-usage.json; verification.json; control-verification.json; report.md</v>
      </c>
      <c r="M7" t="str" s="11">
        <f>"Claude Sonnet 4.6"</f>
        <v>Claude Sonnet 4.6</v>
      </c>
      <c r="N7" t="str" s="11">
        <f>"All recorded transport responses, including invalid responses"</f>
        <v>All recorded transport responses, including invalid responses</v>
      </c>
      <c r="O7" s="11">
        <f>1</f>
        <v>1</v>
      </c>
      <c r="P7" s="11">
        <f>IF('All 17 saved engineering invest'!I7="",0,1)</f>
        <v>0</v>
      </c>
    </row>
    <row r="8">
      <c r="A8" t="inlineStr" s="10">
        <is>
          <t xml:space="preserve">7e60e53a-1a02-4f81-918d-24649030fae0</t>
        </is>
      </c>
      <c r="B8" t="str" s="11">
        <f>"buggy"</f>
        <v>buggy</v>
      </c>
      <c r="C8" t="str" s="11">
        <f>"inconclusive"</f>
        <v>inconclusive</v>
      </c>
      <c r="D8" t="str" s="11">
        <f>"Claude Sonnet 4.6"</f>
        <v>Claude Sonnet 4.6</v>
      </c>
      <c r="E8" t="str" s="11">
        <f>"2026-10-12"</f>
        <v>2026-10-12</v>
      </c>
      <c r="F8" s="12">
        <f>8530</f>
        <v>8530</v>
      </c>
      <c r="G8" s="12">
        <f>310</f>
        <v>310</v>
      </c>
      <c r="H8" s="13">
        <f>10.59</f>
        <v>10.59</v>
      </c>
      <c r="I8" t="str" s="14">
        <f>""</f>
        <v/>
      </c>
      <c r="J8" t="str" s="11">
        <f>"Unknown"</f>
        <v>Unknown</v>
      </c>
      <c r="K8" t="str" s="11">
        <f>"Unknown"</f>
        <v>Unknown</v>
      </c>
      <c r="L8" t="str" s="11">
        <f>"7e60e53a-1a02-4f81-918d-24649030fae0: model-usage.json; verification.json; control-verification.json; report.md"</f>
        <v>7e60e53a-1a02-4f81-918d-24649030fae0: model-usage.json; verification.json; control-verification.json; report.md</v>
      </c>
      <c r="M8" t="str" s="11">
        <f>"Claude Sonnet 4.6"</f>
        <v>Claude Sonnet 4.6</v>
      </c>
      <c r="N8" t="str" s="11">
        <f>"All recorded transport responses, including invalid responses"</f>
        <v>All recorded transport responses, including invalid responses</v>
      </c>
      <c r="O8" s="11">
        <f>1</f>
        <v>1</v>
      </c>
      <c r="P8" s="11">
        <f>IF('All 17 saved engineering invest'!I8="",0,1)</f>
        <v>0</v>
      </c>
    </row>
    <row r="9">
      <c r="A9" t="inlineStr" s="10">
        <is>
          <t xml:space="preserve">39b9bed4-fca9-4884-a7b9-3035fc860685</t>
        </is>
      </c>
      <c r="B9" t="str" s="11">
        <f>"fixed"</f>
        <v>fixed</v>
      </c>
      <c r="C9" t="str" s="11">
        <f>"inconclusive"</f>
        <v>inconclusive</v>
      </c>
      <c r="D9" t="str" s="11">
        <f>"Claude Sonnet 4.6"</f>
        <v>Claude Sonnet 4.6</v>
      </c>
      <c r="E9" t="str" s="11">
        <f>"2026-10-12"</f>
        <v>2026-10-12</v>
      </c>
      <c r="F9" s="12">
        <f>8592</f>
        <v>8592</v>
      </c>
      <c r="G9" s="12">
        <f>268</f>
        <v>268</v>
      </c>
      <c r="H9" s="13">
        <f>10.073</f>
        <v>10.073</v>
      </c>
      <c r="I9" t="str" s="14">
        <f>""</f>
        <v/>
      </c>
      <c r="J9" t="str" s="11">
        <f>"Unknown"</f>
        <v>Unknown</v>
      </c>
      <c r="K9" t="str" s="11">
        <f>"Unknown"</f>
        <v>Unknown</v>
      </c>
      <c r="L9" t="str" s="11">
        <f>"39b9bed4-fca9-4884-a7b9-3035fc860685: model-usage.json; verification.json; control-verification.json; report.md"</f>
        <v>39b9bed4-fca9-4884-a7b9-3035fc860685: model-usage.json; verification.json; control-verification.json; report.md</v>
      </c>
      <c r="M9" t="str" s="11">
        <f>"Claude Sonnet 4.6"</f>
        <v>Claude Sonnet 4.6</v>
      </c>
      <c r="N9" t="str" s="11">
        <f>"All recorded transport responses, including invalid responses"</f>
        <v>All recorded transport responses, including invalid responses</v>
      </c>
      <c r="O9" s="11">
        <f>1</f>
        <v>1</v>
      </c>
      <c r="P9" s="11">
        <f>IF('All 17 saved engineering invest'!I9="",0,1)</f>
        <v>0</v>
      </c>
    </row>
    <row r="10">
      <c r="A10" t="inlineStr" s="10">
        <is>
          <t xml:space="preserve">70582bba-ec4a-4d46-9846-ecc305ec36fb</t>
        </is>
      </c>
      <c r="B10" t="str" s="11">
        <f>"buggy"</f>
        <v>buggy</v>
      </c>
      <c r="C10" t="str" s="11">
        <f>"inconclusive"</f>
        <v>inconclusive</v>
      </c>
      <c r="D10" t="str" s="11">
        <f>"Claude Sonnet 4.6"</f>
        <v>Claude Sonnet 4.6</v>
      </c>
      <c r="E10" t="str" s="11">
        <f>"2026-10-12"</f>
        <v>2026-10-12</v>
      </c>
      <c r="F10" s="12">
        <f>11250</f>
        <v>11250</v>
      </c>
      <c r="G10" s="12">
        <f>323</f>
        <v>323</v>
      </c>
      <c r="H10" s="13">
        <f>17.465</f>
        <v>17.465</v>
      </c>
      <c r="I10" t="str" s="14">
        <f>""</f>
        <v/>
      </c>
      <c r="J10" t="str" s="11">
        <f>"Unknown"</f>
        <v>Unknown</v>
      </c>
      <c r="K10" t="str" s="11">
        <f>"Unknown"</f>
        <v>Unknown</v>
      </c>
      <c r="L10" t="str" s="11">
        <f>"70582bba-ec4a-4d46-9846-ecc305ec36fb: model-usage.json; verification.json; control-verification.json; report.md"</f>
        <v>70582bba-ec4a-4d46-9846-ecc305ec36fb: model-usage.json; verification.json; control-verification.json; report.md</v>
      </c>
      <c r="M10" t="str" s="11">
        <f>"Claude Sonnet 4.6"</f>
        <v>Claude Sonnet 4.6</v>
      </c>
      <c r="N10" t="str" s="11">
        <f>"All recorded transport responses, including invalid responses"</f>
        <v>All recorded transport responses, including invalid responses</v>
      </c>
      <c r="O10" s="11">
        <f>1</f>
        <v>1</v>
      </c>
      <c r="P10" s="11">
        <f>IF('All 17 saved engineering invest'!I10="",0,1)</f>
        <v>0</v>
      </c>
    </row>
    <row r="11">
      <c r="A11" t="inlineStr" s="10">
        <is>
          <t xml:space="preserve">6348e730-4d90-4e40-a3e7-6186a2825ca6</t>
        </is>
      </c>
      <c r="B11" t="str" s="11">
        <f>"buggy"</f>
        <v>buggy</v>
      </c>
      <c r="C11" t="str" s="11">
        <f>"inconclusive"</f>
        <v>inconclusive</v>
      </c>
      <c r="D11" t="str" s="11">
        <f>"Claude Sonnet 4.6"</f>
        <v>Claude Sonnet 4.6</v>
      </c>
      <c r="E11" t="str" s="11">
        <f>"2026-10-12"</f>
        <v>2026-10-12</v>
      </c>
      <c r="F11" s="12">
        <f>11322</f>
        <v>11322</v>
      </c>
      <c r="G11" s="12">
        <f>293</f>
        <v>293</v>
      </c>
      <c r="H11" s="13">
        <f>12.773</f>
        <v>12.773</v>
      </c>
      <c r="I11" t="str" s="14">
        <f>""</f>
        <v/>
      </c>
      <c r="J11" t="str" s="11">
        <f>"Unknown"</f>
        <v>Unknown</v>
      </c>
      <c r="K11" t="str" s="11">
        <f>"Unknown"</f>
        <v>Unknown</v>
      </c>
      <c r="L11" t="str" s="11">
        <f>"6348e730-4d90-4e40-a3e7-6186a2825ca6: model-usage.json; verification.json; control-verification.json; report.md"</f>
        <v>6348e730-4d90-4e40-a3e7-6186a2825ca6: model-usage.json; verification.json; control-verification.json; report.md</v>
      </c>
      <c r="M11" t="str" s="11">
        <f>"Claude Sonnet 4.6"</f>
        <v>Claude Sonnet 4.6</v>
      </c>
      <c r="N11" t="str" s="11">
        <f>"All recorded transport responses, including invalid responses"</f>
        <v>All recorded transport responses, including invalid responses</v>
      </c>
      <c r="O11" s="11">
        <f>1</f>
        <v>1</v>
      </c>
      <c r="P11" s="11">
        <f>IF('All 17 saved engineering invest'!I11="",0,1)</f>
        <v>0</v>
      </c>
    </row>
    <row r="12">
      <c r="A12" t="inlineStr" s="10">
        <is>
          <t xml:space="preserve">88928c9e-85d5-4806-a8e0-69d59f27790d</t>
        </is>
      </c>
      <c r="B12" t="str" s="11">
        <f>"buggy"</f>
        <v>buggy</v>
      </c>
      <c r="C12" t="str" s="11">
        <f>"inconclusive"</f>
        <v>inconclusive</v>
      </c>
      <c r="D12" t="str" s="11">
        <f>"Claude Sonnet 4.6"</f>
        <v>Claude Sonnet 4.6</v>
      </c>
      <c r="E12" t="str" s="11">
        <f>"2026-10-12"</f>
        <v>2026-10-12</v>
      </c>
      <c r="F12" s="12">
        <f>11276</f>
        <v>11276</v>
      </c>
      <c r="G12" s="12">
        <f>339</f>
        <v>339</v>
      </c>
      <c r="H12" s="13">
        <f>12.749</f>
        <v>12.749</v>
      </c>
      <c r="I12" t="str" s="14">
        <f>""</f>
        <v/>
      </c>
      <c r="J12" t="str" s="11">
        <f>"Unknown"</f>
        <v>Unknown</v>
      </c>
      <c r="K12" t="str" s="11">
        <f>"Unknown"</f>
        <v>Unknown</v>
      </c>
      <c r="L12" t="str" s="11">
        <f>"88928c9e-85d5-4806-a8e0-69d59f27790d: model-usage.json; verification.json; control-verification.json; report.md"</f>
        <v>88928c9e-85d5-4806-a8e0-69d59f27790d: model-usage.json; verification.json; control-verification.json; report.md</v>
      </c>
      <c r="M12" t="str" s="11">
        <f>"Claude Sonnet 4.6"</f>
        <v>Claude Sonnet 4.6</v>
      </c>
      <c r="N12" t="str" s="11">
        <f>"All recorded transport responses, including invalid responses"</f>
        <v>All recorded transport responses, including invalid responses</v>
      </c>
      <c r="O12" s="11">
        <f>1</f>
        <v>1</v>
      </c>
      <c r="P12" s="11">
        <f>IF('All 17 saved engineering invest'!I12="",0,1)</f>
        <v>0</v>
      </c>
    </row>
    <row r="13">
      <c r="A13" t="inlineStr" s="10">
        <is>
          <t xml:space="preserve">9bf6f448-a6f3-43a7-9378-93602e6c7dbb</t>
        </is>
      </c>
      <c r="B13" t="str" s="11">
        <f>"fixed"</f>
        <v>fixed</v>
      </c>
      <c r="C13" t="str" s="11">
        <f>"inconclusive"</f>
        <v>inconclusive</v>
      </c>
      <c r="D13" t="str" s="11">
        <f>"Claude Sonnet 4.6"</f>
        <v>Claude Sonnet 4.6</v>
      </c>
      <c r="E13" t="str" s="11">
        <f>"2026-10-12"</f>
        <v>2026-10-12</v>
      </c>
      <c r="F13" s="12">
        <f>11208</f>
        <v>11208</v>
      </c>
      <c r="G13" s="12">
        <f>261</f>
        <v>261</v>
      </c>
      <c r="H13" s="13">
        <f>12.679</f>
        <v>12.679</v>
      </c>
      <c r="I13" t="str" s="14">
        <f>""</f>
        <v/>
      </c>
      <c r="J13" t="str" s="11">
        <f>"Unknown"</f>
        <v>Unknown</v>
      </c>
      <c r="K13" t="str" s="11">
        <f>"Unknown"</f>
        <v>Unknown</v>
      </c>
      <c r="L13" t="str" s="11">
        <f>"9bf6f448-a6f3-43a7-9378-93602e6c7dbb: model-usage.json; verification.json; control-verification.json; report.md"</f>
        <v>9bf6f448-a6f3-43a7-9378-93602e6c7dbb: model-usage.json; verification.json; control-verification.json; report.md</v>
      </c>
      <c r="M13" t="str" s="11">
        <f>"Claude Sonnet 4.6"</f>
        <v>Claude Sonnet 4.6</v>
      </c>
      <c r="N13" t="str" s="11">
        <f>"All recorded transport responses, including invalid responses"</f>
        <v>All recorded transport responses, including invalid responses</v>
      </c>
      <c r="O13" s="11">
        <f>1</f>
        <v>1</v>
      </c>
      <c r="P13" s="11">
        <f>IF('All 17 saved engineering invest'!I13="",0,1)</f>
        <v>0</v>
      </c>
    </row>
    <row r="14">
      <c r="A14" t="inlineStr" s="10">
        <is>
          <t xml:space="preserve">5a3547da-c82d-4847-b67e-3985407c7fe3</t>
        </is>
      </c>
      <c r="B14" t="str" s="11">
        <f>"buggy"</f>
        <v>buggy</v>
      </c>
      <c r="C14" t="str" s="11">
        <f>"inconclusive"</f>
        <v>inconclusive</v>
      </c>
      <c r="D14" t="str" s="11">
        <f>"Claude Sonnet 4.6"</f>
        <v>Claude Sonnet 4.6</v>
      </c>
      <c r="E14" t="str" s="11">
        <f>"2026-10-12"</f>
        <v>2026-10-12</v>
      </c>
      <c r="F14" s="12">
        <f>26994</f>
        <v>26994</v>
      </c>
      <c r="G14" s="12">
        <f>767</f>
        <v>767</v>
      </c>
      <c r="H14" s="13">
        <f>25.978</f>
        <v>25.978</v>
      </c>
      <c r="I14" t="str" s="14">
        <f>""</f>
        <v/>
      </c>
      <c r="J14" t="str" s="11">
        <f>"Unknown"</f>
        <v>Unknown</v>
      </c>
      <c r="K14" t="str" s="11">
        <f>"Unknown"</f>
        <v>Unknown</v>
      </c>
      <c r="L14" t="str" s="11">
        <f>"5a3547da-c82d-4847-b67e-3985407c7fe3: model-usage.json; verification.json; control-verification.json; report.md"</f>
        <v>5a3547da-c82d-4847-b67e-3985407c7fe3: model-usage.json; verification.json; control-verification.json; report.md</v>
      </c>
      <c r="M14" t="str" s="11">
        <f>"Claude Sonnet 4.6"</f>
        <v>Claude Sonnet 4.6</v>
      </c>
      <c r="N14" t="str" s="11">
        <f>"All recorded transport responses, including invalid responses"</f>
        <v>All recorded transport responses, including invalid responses</v>
      </c>
      <c r="O14" s="11">
        <f>1</f>
        <v>1</v>
      </c>
      <c r="P14" s="11">
        <f>IF('All 17 saved engineering invest'!I14="",0,1)</f>
        <v>0</v>
      </c>
    </row>
    <row r="15">
      <c r="A15" t="inlineStr" s="10">
        <is>
          <t xml:space="preserve">5e7c759d-aedf-4102-b17c-a5f3ecff5104</t>
        </is>
      </c>
      <c r="B15" t="str" s="11">
        <f>"buggy"</f>
        <v>buggy</v>
      </c>
      <c r="C15" t="str" s="11">
        <f>"not_reproduced"</f>
        <v>not_reproduced</v>
      </c>
      <c r="D15" t="str" s="11">
        <f>"Claude Sonnet 4.6"</f>
        <v>Claude Sonnet 4.6</v>
      </c>
      <c r="E15" t="str" s="11">
        <f>"2026-10-12"</f>
        <v>2026-10-12</v>
      </c>
      <c r="F15" s="12">
        <f>65169</f>
        <v>65169</v>
      </c>
      <c r="G15" s="12">
        <f>2195</f>
        <v>2195</v>
      </c>
      <c r="H15" s="13">
        <f>60.974</f>
        <v>60.974</v>
      </c>
      <c r="I15" t="str" s="14">
        <f>""</f>
        <v/>
      </c>
      <c r="J15" t="str" s="11">
        <f>"Unknown"</f>
        <v>Unknown</v>
      </c>
      <c r="K15" t="str" s="11">
        <f>"Unknown"</f>
        <v>Unknown</v>
      </c>
      <c r="L15" t="str" s="11">
        <f>"5e7c759d-aedf-4102-b17c-a5f3ecff5104: model-usage.json; verification.json; control-verification.json; report.md"</f>
        <v>5e7c759d-aedf-4102-b17c-a5f3ecff5104: model-usage.json; verification.json; control-verification.json; report.md</v>
      </c>
      <c r="M15" t="str" s="11">
        <f>"Claude Sonnet 4.6"</f>
        <v>Claude Sonnet 4.6</v>
      </c>
      <c r="N15" t="str" s="11">
        <f>"All recorded transport responses, including invalid responses"</f>
        <v>All recorded transport responses, including invalid responses</v>
      </c>
      <c r="O15" s="11">
        <f>1</f>
        <v>1</v>
      </c>
      <c r="P15" s="11">
        <f>IF('All 17 saved engineering invest'!I15="",0,1)</f>
        <v>0</v>
      </c>
    </row>
    <row r="16">
      <c r="A16" t="inlineStr" s="10">
        <is>
          <t xml:space="preserve">19ecc208-aa4c-47ce-bc92-5e3523dfae59</t>
        </is>
      </c>
      <c r="B16" t="str" s="11">
        <f>"buggy"</f>
        <v>buggy</v>
      </c>
      <c r="C16" t="str" s="11">
        <f>"not_reproduced"</f>
        <v>not_reproduced</v>
      </c>
      <c r="D16" t="str" s="11">
        <f>"Claude Sonnet 4.6"</f>
        <v>Claude Sonnet 4.6</v>
      </c>
      <c r="E16" t="str" s="11">
        <f>"2026-10-12"</f>
        <v>2026-10-12</v>
      </c>
      <c r="F16" s="12">
        <f>115544</f>
        <v>115544</v>
      </c>
      <c r="G16" s="12">
        <f>2605</f>
        <v>2605</v>
      </c>
      <c r="H16" s="13">
        <f>86.806</f>
        <v>86.806</v>
      </c>
      <c r="I16" t="str" s="14">
        <f>""</f>
        <v/>
      </c>
      <c r="J16" t="str" s="11">
        <f>"Unknown"</f>
        <v>Unknown</v>
      </c>
      <c r="K16" t="str" s="11">
        <f>"Unknown"</f>
        <v>Unknown</v>
      </c>
      <c r="L16" t="str" s="11">
        <f>"19ecc208-aa4c-47ce-bc92-5e3523dfae59: model-usage.json; verification.json; control-verification.json; report.md"</f>
        <v>19ecc208-aa4c-47ce-bc92-5e3523dfae59: model-usage.json; verification.json; control-verification.json; report.md</v>
      </c>
      <c r="M16" t="str" s="11">
        <f>"Claude Sonnet 4.6"</f>
        <v>Claude Sonnet 4.6</v>
      </c>
      <c r="N16" t="str" s="11">
        <f>"All recorded transport responses, including invalid responses"</f>
        <v>All recorded transport responses, including invalid responses</v>
      </c>
      <c r="O16" s="11">
        <f>1</f>
        <v>1</v>
      </c>
      <c r="P16" s="11">
        <f>IF('All 17 saved engineering invest'!I16="",0,1)</f>
        <v>0</v>
      </c>
    </row>
    <row r="17">
      <c r="A17" t="inlineStr" s="10">
        <is>
          <t xml:space="preserve">c4010a11-3341-416c-a863-52aff89893a5</t>
        </is>
      </c>
      <c r="B17" t="str" s="11">
        <f>"fixed"</f>
        <v>fixed</v>
      </c>
      <c r="C17" t="str" s="11">
        <f>"inconclusive"</f>
        <v>inconclusive</v>
      </c>
      <c r="D17" t="str" s="11">
        <f>"Claude Sonnet 4.6"</f>
        <v>Claude Sonnet 4.6</v>
      </c>
      <c r="E17" t="str" s="11">
        <f>"2026-10-12"</f>
        <v>2026-10-12</v>
      </c>
      <c r="F17" s="12">
        <f>18847</f>
        <v>18847</v>
      </c>
      <c r="G17" s="12">
        <f>599</f>
        <v>599</v>
      </c>
      <c r="H17" s="13">
        <f>19.171</f>
        <v>19.171</v>
      </c>
      <c r="I17" t="str" s="14">
        <f>""</f>
        <v/>
      </c>
      <c r="J17" t="str" s="11">
        <f>"Unknown"</f>
        <v>Unknown</v>
      </c>
      <c r="K17" t="str" s="11">
        <f>"Unknown"</f>
        <v>Unknown</v>
      </c>
      <c r="L17" t="str" s="11">
        <f>"c4010a11-3341-416c-a863-52aff89893a5: model-usage.json; verification.json; control-verification.json; report.md"</f>
        <v>c4010a11-3341-416c-a863-52aff89893a5: model-usage.json; verification.json; control-verification.json; report.md</v>
      </c>
      <c r="M17" t="str" s="11">
        <f>"Claude Sonnet 4.6"</f>
        <v>Claude Sonnet 4.6</v>
      </c>
      <c r="N17" t="str" s="11">
        <f>"All recorded transport responses, including invalid responses"</f>
        <v>All recorded transport responses, including invalid responses</v>
      </c>
      <c r="O17" s="11">
        <f>1</f>
        <v>1</v>
      </c>
      <c r="P17" s="11">
        <f>IF('All 17 saved engineering invest'!I17="",0,1)</f>
        <v>0</v>
      </c>
    </row>
    <row r="18">
      <c r="A18" t="inlineStr" s="10">
        <is>
          <t xml:space="preserve">247e9123-b7aa-46d6-9f36-936a6531960e</t>
        </is>
      </c>
      <c r="B18" t="str" s="11">
        <f>"buggy"</f>
        <v>buggy</v>
      </c>
      <c r="C18" t="str" s="11">
        <f>"not_reproduced"</f>
        <v>not_reproduced</v>
      </c>
      <c r="D18" t="str" s="11">
        <f>"Claude Sonnet 4.6"</f>
        <v>Claude Sonnet 4.6</v>
      </c>
      <c r="E18" t="str" s="11">
        <f>"2026-10-12"</f>
        <v>2026-10-12</v>
      </c>
      <c r="F18" s="12">
        <f>60315</f>
        <v>60315</v>
      </c>
      <c r="G18" s="12">
        <f>2220</f>
        <v>2220</v>
      </c>
      <c r="H18" s="13">
        <f>63.924</f>
        <v>63.924</v>
      </c>
      <c r="I18" s="14">
        <f>0.2356695</f>
        <v>0.2356695</v>
      </c>
      <c r="J18" t="str" s="11">
        <f>"Complete x-litellm-response-cost coverage"</f>
        <v>Complete x-litellm-response-cost coverage</v>
      </c>
      <c r="K18" t="str" s="11">
        <f>"2b541b20a97ef3df4261529bd48089792e01f2af"</f>
        <v>2b541b20a97ef3df4261529bd48089792e01f2af</v>
      </c>
      <c r="L18" t="str" s="11">
        <f>"247e9123-b7aa-46d6-9f36-936a6531960e: model-usage.json; verification.json; control-verification.json; report.md"</f>
        <v>247e9123-b7aa-46d6-9f36-936a6531960e: model-usage.json; verification.json; control-verification.json; report.md</v>
      </c>
      <c r="M18" t="str" s="11">
        <f>"Claude Sonnet 4.6"</f>
        <v>Claude Sonnet 4.6</v>
      </c>
      <c r="N18" t="str" s="11">
        <f>"All recorded transport responses, including invalid responses"</f>
        <v>All recorded transport responses, including invalid responses</v>
      </c>
      <c r="O18" s="11">
        <f>1</f>
        <v>1</v>
      </c>
      <c r="P18" s="11">
        <f>IF('All 17 saved engineering invest'!I18="",0,1)</f>
        <v>1</v>
      </c>
    </row>
    <row r="19">
      <c r="A19" t="inlineStr" s="10">
        <is>
          <t xml:space="preserve">b8ffd757-6aed-405d-b7ac-ed3b1c4d9236</t>
        </is>
      </c>
      <c r="B19" t="str" s="11">
        <f>"buggy"</f>
        <v>buggy</v>
      </c>
      <c r="C19" t="str" s="11">
        <f>"bug_confirmed"</f>
        <v>bug_confirmed</v>
      </c>
      <c r="D19" t="str" s="11">
        <f>"Claude Sonnet 4.6"</f>
        <v>Claude Sonnet 4.6</v>
      </c>
      <c r="E19" t="str" s="11">
        <f>"2026-10-12"</f>
        <v>2026-10-12</v>
      </c>
      <c r="F19" s="12">
        <f>41069</f>
        <v>41069</v>
      </c>
      <c r="G19" s="12">
        <f>1261</f>
        <v>1261</v>
      </c>
      <c r="H19" s="13">
        <f>51.651</f>
        <v>51.651</v>
      </c>
      <c r="I19" s="14">
        <f>0.1563342</f>
        <v>0.1563342</v>
      </c>
      <c r="J19" t="str" s="11">
        <f>"Complete x-litellm-response-cost coverage"</f>
        <v>Complete x-litellm-response-cost coverage</v>
      </c>
      <c r="K19" t="str" s="11">
        <f>"2b541b20a97ef3df4261529bd48089792e01f2af"</f>
        <v>2b541b20a97ef3df4261529bd48089792e01f2af</v>
      </c>
      <c r="L19" t="str" s="11">
        <f>"b8ffd757-6aed-405d-b7ac-ed3b1c4d9236: model-usage.json; verification.json; control-verification.json; report.md"</f>
        <v>b8ffd757-6aed-405d-b7ac-ed3b1c4d9236: model-usage.json; verification.json; control-verification.json; report.md</v>
      </c>
      <c r="M19" t="str" s="11">
        <f>"Claude Sonnet 4.6"</f>
        <v>Claude Sonnet 4.6</v>
      </c>
      <c r="N19" t="str" s="11">
        <f>"All recorded transport responses, including invalid responses"</f>
        <v>All recorded transport responses, including invalid responses</v>
      </c>
      <c r="O19" s="11">
        <f>1</f>
        <v>1</v>
      </c>
      <c r="P19" s="11">
        <f>IF('All 17 saved engineering invest'!I19="",0,1)</f>
        <v>1</v>
      </c>
    </row>
    <row r="20">
      <c r="A20" t="inlineStr" s="10">
        <is>
          <t xml:space="preserve">7c259071-2c8c-45ee-8c65-5fafa1395ae7</t>
        </is>
      </c>
      <c r="B20" t="str" s="11">
        <f>"buggy"</f>
        <v>buggy</v>
      </c>
      <c r="C20" t="str" s="11">
        <f>"not_reproduced"</f>
        <v>not_reproduced</v>
      </c>
      <c r="D20" t="str" s="11">
        <f>"Claude Sonnet 4.6"</f>
        <v>Claude Sonnet 4.6</v>
      </c>
      <c r="E20" t="str" s="11">
        <f>"2026-10-12"</f>
        <v>2026-10-12</v>
      </c>
      <c r="F20" s="12">
        <f>64690</f>
        <v>64690</v>
      </c>
      <c r="G20" s="12">
        <f>2245</f>
        <v>2245</v>
      </c>
      <c r="H20" s="13">
        <f>64.727</f>
        <v>64.727</v>
      </c>
      <c r="I20" s="14">
        <f>0.2505195</f>
        <v>0.2505195</v>
      </c>
      <c r="J20" t="str" s="11">
        <f>"Complete x-litellm-response-cost coverage"</f>
        <v>Complete x-litellm-response-cost coverage</v>
      </c>
      <c r="K20" t="str" s="11">
        <f>"2b541b20a97ef3df4261529bd48089792e01f2af"</f>
        <v>2b541b20a97ef3df4261529bd48089792e01f2af</v>
      </c>
      <c r="L20" t="str" s="11">
        <f>"7c259071-2c8c-45ee-8c65-5fafa1395ae7: model-usage.json; verification.json; control-verification.json; report.md"</f>
        <v>7c259071-2c8c-45ee-8c65-5fafa1395ae7: model-usage.json; verification.json; control-verification.json; report.md</v>
      </c>
      <c r="M20" t="str" s="11">
        <f>"Claude Sonnet 4.6"</f>
        <v>Claude Sonnet 4.6</v>
      </c>
      <c r="N20" t="str" s="11">
        <f>"All recorded transport responses, including invalid responses"</f>
        <v>All recorded transport responses, including invalid responses</v>
      </c>
      <c r="O20" s="11">
        <f>1</f>
        <v>1</v>
      </c>
      <c r="P20" s="11">
        <f>IF('All 17 saved engineering invest'!I20="",0,1)</f>
        <v>1</v>
      </c>
    </row>
    <row r="21">
      <c r="A21" t="inlineStr" s="5">
        <is>
          <t xml:space="preserve">6d85b46a-df25-42a9-abe9-54978f07d964</t>
        </is>
      </c>
      <c r="B21" t="str" s="6">
        <f>"fixed"</f>
        <v>fixed</v>
      </c>
      <c r="C21" t="str" s="6">
        <f>"not_reproduced"</f>
        <v>not_reproduced</v>
      </c>
      <c r="D21" t="str" s="6">
        <f>"Claude Sonnet 4.6"</f>
        <v>Claude Sonnet 4.6</v>
      </c>
      <c r="E21" t="str" s="6">
        <f>"2026-10-12"</f>
        <v>2026-10-12</v>
      </c>
      <c r="F21" s="7">
        <f>82219</f>
        <v>82219</v>
      </c>
      <c r="G21" s="7">
        <f>2476</f>
        <v>2476</v>
      </c>
      <c r="H21" s="8">
        <f>73.639</f>
        <v>73.639</v>
      </c>
      <c r="I21" s="9">
        <f>0.3121767</f>
        <v>0.3121767</v>
      </c>
      <c r="J21" t="str" s="6">
        <f>"Complete x-litellm-response-cost coverage"</f>
        <v>Complete x-litellm-response-cost coverage</v>
      </c>
      <c r="K21" t="str" s="6">
        <f>"2b541b20a97ef3df4261529bd48089792e01f2af"</f>
        <v>2b541b20a97ef3df4261529bd48089792e01f2af</v>
      </c>
      <c r="L21" t="str" s="6">
        <f>"6d85b46a-df25-42a9-abe9-54978f07d964: model-usage.json; verification.json; control-verification.json; report.md"</f>
        <v>6d85b46a-df25-42a9-abe9-54978f07d964: model-usage.json; verification.json; control-verification.json; report.md</v>
      </c>
      <c r="M21" t="str" s="6">
        <f>"Claude Sonnet 4.6"</f>
        <v>Claude Sonnet 4.6</v>
      </c>
      <c r="N21" t="str" s="6">
        <f>"All recorded transport responses, including invalid responses"</f>
        <v>All recorded transport responses, including invalid responses</v>
      </c>
      <c r="O21" s="6">
        <f>1</f>
        <v>1</v>
      </c>
      <c r="P21" s="6">
        <f>IF('All 17 saved engineering invest'!I21="",0,1)</f>
        <v>1</v>
      </c>
    </row>
  </sheetData>
  <mergeCells count="1">
    <mergeCell ref="A1:P1"/>
  </mergeCells>
</worksheet>
</file>

<file path=xl/worksheets/sheet2.xml><?xml version="1.0" encoding="utf-8"?>
<worksheet xmlns="http://schemas.openxmlformats.org/spreadsheetml/2006/main">
  <dimension ref="A1:J6"/>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32" customHeight="1">
      <c r="A1" t="inlineStr" s="1">
        <is>
          <t xml:space="preserve">Two successful model smoke calls</t>
        </is>
      </c>
    </row>
    <row r="2" ht="20" customHeight="1">
      <c r="A2" t="inlineStr" s="2">
        <is>
          <t xml:space="preserve">Observed engineering evidence — 2026-10-12 · Main Scenario</t>
        </is>
      </c>
    </row>
    <row r="4" ht="22" customHeight="1">
      <c r="A4" t="inlineStr" s="3">
        <is>
          <t xml:space="preserve">Variable / dimension</t>
        </is>
      </c>
      <c r="B4" t="inlineStr" s="4">
        <is>
          <t xml:space="preserve">Engineering smoke model</t>
        </is>
      </c>
      <c r="C4" t="inlineStr" s="4">
        <is>
          <t xml:space="preserve">Engineering smoke input tokens</t>
        </is>
      </c>
      <c r="D4" t="inlineStr" s="4">
        <is>
          <t xml:space="preserve">Engineering smoke output tokens</t>
        </is>
      </c>
      <c r="E4" t="inlineStr" s="4">
        <is>
          <t xml:space="preserve">Engineering smoke configured non-cache estimate USD</t>
        </is>
      </c>
      <c r="F4" t="inlineStr" s="4">
        <is>
          <t xml:space="preserve">Engineering smoke header accounting USD</t>
        </is>
      </c>
      <c r="G4" t="inlineStr" s="4">
        <is>
          <t xml:space="preserve">Engineering smoke duration seconds</t>
        </is>
      </c>
      <c r="H4" t="inlineStr" s="4">
        <is>
          <t xml:space="preserve">Engineering smoke cash invoice USD</t>
        </is>
      </c>
      <c r="I4" t="inlineStr" s="4">
        <is>
          <t xml:space="preserve">Engineering smoke unsupported-field status</t>
        </is>
      </c>
      <c r="J4" t="inlineStr" s="4">
        <is>
          <t xml:space="preserve">Engineering smoke result</t>
        </is>
      </c>
    </row>
    <row r="5">
      <c r="A5" t="inlineStr" s="5">
        <is>
          <t xml:space="preserve">2026-10-11T18:07:47.476Z</t>
        </is>
      </c>
      <c r="B5" t="str" s="6">
        <f>"claude-sonnet-4.6"</f>
        <v>claude-sonnet-4.6</v>
      </c>
      <c r="C5" s="7">
        <f>133</f>
        <v>133</v>
      </c>
      <c r="D5" s="7">
        <f>20</f>
        <v>20</v>
      </c>
      <c r="E5" s="9">
        <f>0.0007689</f>
        <v>0.0007689</v>
      </c>
      <c r="F5" t="str" s="6">
        <f>""</f>
        <v/>
      </c>
      <c r="G5" t="str" s="6">
        <f>""</f>
        <v/>
      </c>
      <c r="H5" t="str" s="6">
        <f>""</f>
        <v/>
      </c>
      <c r="I5" t="str" s="6">
        <f>"Unknown"</f>
        <v>Unknown</v>
      </c>
      <c r="J5" t="str" s="6">
        <f>"successful model smoke call"</f>
        <v>successful model smoke call</v>
      </c>
    </row>
    <row r="6">
      <c r="A6" t="inlineStr" s="5">
        <is>
          <t xml:space="preserve">2026-10-12T15:00:41.009Z</t>
        </is>
      </c>
      <c r="B6" t="str" s="6">
        <f>"claude-sonnet-4.6"</f>
        <v>claude-sonnet-4.6</v>
      </c>
      <c r="C6" s="7">
        <f>133</f>
        <v>133</v>
      </c>
      <c r="D6" s="7">
        <f>20</f>
        <v>20</v>
      </c>
      <c r="E6" s="9">
        <f>0.0007689</f>
        <v>0.0007689</v>
      </c>
      <c r="F6" t="str" s="6">
        <f>""</f>
        <v/>
      </c>
      <c r="G6" t="str" s="6">
        <f>""</f>
        <v/>
      </c>
      <c r="H6" t="str" s="6">
        <f>""</f>
        <v/>
      </c>
      <c r="I6" t="str" s="6">
        <f>"Unknown"</f>
        <v>Unknown</v>
      </c>
      <c r="J6" t="str" s="6">
        <f>"successful model smoke call"</f>
        <v>successful model smoke call</v>
      </c>
    </row>
  </sheetData>
  <mergeCells count="1">
    <mergeCell ref="A1:J1"/>
  </mergeCells>
</worksheet>
</file>

<file path=xl/worksheets/sheet3.xml><?xml version="1.0" encoding="utf-8"?>
<worksheet xmlns="http://schemas.openxmlformats.org/spreadsheetml/2006/main">
  <dimension ref="A1:G5"/>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 min="3" max="3" width="19" customWidth="1"/>
    <col min="4" max="4" width="19" customWidth="1"/>
    <col min="5" max="5" width="19" customWidth="1"/>
    <col min="6" max="6" width="19" customWidth="1"/>
    <col min="7" max="7" width="19" customWidth="1"/>
  </cols>
  <sheetData>
    <row r="1" ht="32" customHeight="1">
      <c r="A1" t="inlineStr" s="1">
        <is>
          <t xml:space="preserve">Five rejected Bedrock access probes — aggregate evidence</t>
        </is>
      </c>
    </row>
    <row r="2" ht="20" customHeight="1">
      <c r="A2" t="inlineStr" s="2">
        <is>
          <t xml:space="preserve">Observed engineering evidence — 2026-10-12 · Main Scenario</t>
        </is>
      </c>
    </row>
    <row r="4" ht="22" customHeight="1">
      <c r="A4" t="inlineStr" s="3">
        <is>
          <t xml:space="preserve">Variable / dimension</t>
        </is>
      </c>
      <c r="B4" t="inlineStr" s="4">
        <is>
          <t xml:space="preserve">Engineering probe count</t>
        </is>
      </c>
      <c r="C4" t="inlineStr" s="4">
        <is>
          <t xml:space="preserve">Engineering probe outcome</t>
        </is>
      </c>
      <c r="D4" t="inlineStr" s="4">
        <is>
          <t xml:space="preserve">Engineering probe tokens</t>
        </is>
      </c>
      <c r="E4" t="inlineStr" s="4">
        <is>
          <t xml:space="preserve">Engineering probe billing USD</t>
        </is>
      </c>
      <c r="F4" t="inlineStr" s="4">
        <is>
          <t xml:space="preserve">Engineering probe cash charges USD</t>
        </is>
      </c>
      <c r="G4" t="inlineStr" s="4">
        <is>
          <t xml:space="preserve">Engineering probe coverage note</t>
        </is>
      </c>
    </row>
    <row r="5">
      <c r="A5" t="inlineStr" s="5">
        <is>
          <t xml:space="preserve">Rejected Bedrock access probes</t>
        </is>
      </c>
      <c r="B5" s="7">
        <f>5</f>
        <v>5</v>
      </c>
      <c r="C5" t="str" s="6">
        <f>"Rejected access / HTTP 403"</f>
        <v>Rejected access / HTTP 403</v>
      </c>
      <c r="D5" t="str" s="6">
        <f>"Unknown"</f>
        <v>Unknown</v>
      </c>
      <c r="E5" t="str" s="6">
        <f>""</f>
        <v/>
      </c>
      <c r="F5" t="str" s="6">
        <f>""</f>
        <v/>
      </c>
      <c r="G5" t="str" s="6">
        <f>"Five probes retained as an aggregate; per-probe IDs, tokens and bills were not supplied. A 403 is not proof of zero cost."</f>
        <v>Five probes retained as an aggregate; per-probe IDs, tokens and bills were not supplied. A 403 is not proof of zero cost.</v>
      </c>
    </row>
  </sheetData>
  <mergeCells count="1">
    <mergeCell ref="A1:G1"/>
  </mergeCells>
</worksheet>
</file>

<file path=xl/worksheets/sheet4.xml><?xml version="1.0" encoding="utf-8"?>
<worksheet xmlns="http://schemas.openxmlformats.org/spreadsheetml/2006/main">
  <dimension ref="A1:B12"/>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s>
  <sheetData>
    <row r="1" ht="32" customHeight="1">
      <c r="A1" t="inlineStr" s="1">
        <is>
          <t xml:space="preserve">Observed gateway rate metadata — not historical pricing</t>
        </is>
      </c>
    </row>
    <row r="2" ht="20" customHeight="1">
      <c r="A2" t="inlineStr" s="2">
        <is>
          <t xml:space="preserve">Observed engineering evidence — 2026-10-12 · Main Scenario</t>
        </is>
      </c>
    </row>
    <row r="4" ht="22" customHeight="1">
      <c r="A4" t="inlineStr" s="3">
        <is>
          <t xml:space="preserve">Variable / dimension</t>
        </is>
      </c>
      <c r="B4" t="inlineStr" s="4">
        <is>
          <t xml:space="preserve">Value</t>
        </is>
      </c>
    </row>
    <row r="5">
      <c r="A5" t="inlineStr" s="5">
        <is>
          <t xml:space="preserve">Engineering current ordinary input USD per million</t>
        </is>
      </c>
      <c r="B5" s="15">
        <f>3.3</f>
        <v>3.3</v>
      </c>
    </row>
    <row r="6">
      <c r="A6" t="inlineStr" s="10">
        <is>
          <t xml:space="preserve">Engineering current ordinary output USD per million</t>
        </is>
      </c>
      <c r="B6" s="16">
        <f>16.5</f>
        <v>16.5</v>
      </c>
    </row>
    <row r="7">
      <c r="A7" t="inlineStr" s="10">
        <is>
          <t xml:space="preserve">Engineering current cache-read USD per million</t>
        </is>
      </c>
      <c r="B7" s="16">
        <f>0.33</f>
        <v>0.33</v>
      </c>
    </row>
    <row r="8">
      <c r="A8" t="inlineStr" s="10">
        <is>
          <t xml:space="preserve">Engineering current cache-write USD per million</t>
        </is>
      </c>
      <c r="B8" s="16">
        <f>4.125</f>
        <v>4.125</v>
      </c>
    </row>
    <row r="9">
      <c r="A9" t="inlineStr" s="10">
        <is>
          <t xml:space="preserve">Engineering original planning ceiling USD per run</t>
        </is>
      </c>
      <c r="B9" s="16">
        <f>0.1293</f>
        <v>0.1293</v>
      </c>
    </row>
    <row r="10">
      <c r="A10" t="inlineStr" s="10">
        <is>
          <t xml:space="preserve">Engineering gateway metadata observed UTC</t>
        </is>
      </c>
      <c r="B10" t="str" s="11">
        <f>"2026-10-12T15:16:59.061Z"</f>
        <v>2026-10-12T15:16:59.061Z</v>
      </c>
    </row>
    <row r="11">
      <c r="A11" t="inlineStr" s="10">
        <is>
          <t xml:space="preserve">Engineering gateway metadata source file</t>
        </is>
      </c>
      <c r="B11" t="str" s="11">
        <f>"artifacts/tooling/litellm-cost-source-1791818219062.json"</f>
        <v>artifacts/tooling/litellm-cost-source-1791818219062.json</v>
      </c>
    </row>
    <row r="12">
      <c r="A12" t="inlineStr" s="5">
        <is>
          <t xml:space="preserve">Engineering historical rate and cache-category status</t>
        </is>
      </c>
      <c r="B12" t="str" s="6">
        <f>"Unknown"</f>
        <v>Unknown</v>
      </c>
    </row>
  </sheetData>
  <mergeCells count="1">
    <mergeCell ref="A1:B1"/>
  </mergeCells>
</worksheet>
</file>

<file path=xl/worksheets/sheet5.xml><?xml version="1.0" encoding="utf-8"?>
<worksheet xmlns="http://schemas.openxmlformats.org/spreadsheetml/2006/main">
  <dimension ref="A1:B23"/>
  <sheetViews>
    <sheetView showGridLines="0" workbookViewId="0">
      <pane xSplit="1" ySplit="4" topLeftCell="B5" activePane="bottomRight" state="frozen"/>
      <selection pane="bottomRight" activeCell="B5" sqref="B5"/>
    </sheetView>
  </sheetViews>
  <sheetFormatPr defaultRowHeight="18"/>
  <cols>
    <col min="1" max="1" width="40" customWidth="1"/>
    <col min="2" max="2" width="19" customWidth="1"/>
  </cols>
  <sheetData>
    <row r="1" ht="32" customHeight="1">
      <c r="A1" t="inlineStr" s="1">
        <is>
          <t xml:space="preserve">Engineering costs — observed subset, conditional estimates and Unknown totals</t>
        </is>
      </c>
    </row>
    <row r="2" ht="20" customHeight="1">
      <c r="A2" t="inlineStr" s="2">
        <is>
          <t xml:space="preserve">Observed engineering evidence — 2026-10-12 · Main Scenario</t>
        </is>
      </c>
    </row>
    <row r="4" ht="22" customHeight="1">
      <c r="A4" t="inlineStr" s="3">
        <is>
          <t xml:space="preserve">Variable / dimension</t>
        </is>
      </c>
      <c r="B4" t="inlineStr" s="4">
        <is>
          <t xml:space="preserve">Value</t>
        </is>
      </c>
    </row>
    <row r="5">
      <c r="A5" t="inlineStr" s="5">
        <is>
          <t xml:space="preserve">Engineering saved investigation count</t>
        </is>
      </c>
      <c r="B5" s="7">
        <f>SUM('All 17 saved engineering invest'!O5,'All 17 saved engineering invest'!O6,'All 17 saved engineering invest'!O7,'All 17 saved engineering invest'!O8,'All 17 saved engineering invest'!O9,'All 17 saved engineering invest'!O10,'All 17 saved engineering invest'!O11,'All 17 saved engineering invest'!O12,'All 17 saved engineering invest'!O13,'All 17 saved engineering invest'!O14,'All 17 saved engineering invest'!O15,'All 17 saved engineering invest'!O16,'All 17 saved engineering invest'!O17,'All 17 saved engineering invest'!O18,'All 17 saved engineering invest'!O19,'All 17 saved engineering invest'!O20,'All 17 saved engineering invest'!O21)</f>
        <v>17</v>
      </c>
    </row>
    <row r="6">
      <c r="A6" t="inlineStr" s="10">
        <is>
          <t xml:space="preserve">Engineering accounted input-token subtotal</t>
        </is>
      </c>
      <c r="B6" s="12">
        <f>SUM('All 17 saved engineering invest'!F5,'All 17 saved engineering invest'!F6,'All 17 saved engineering invest'!F7,'All 17 saved engineering invest'!F8,'All 17 saved engineering invest'!F9,'All 17 saved engineering invest'!F10,'All 17 saved engineering invest'!F11,'All 17 saved engineering invest'!F12,'All 17 saved engineering invest'!F13,'All 17 saved engineering invest'!F14,'All 17 saved engineering invest'!F15,'All 17 saved engineering invest'!F16,'All 17 saved engineering invest'!F17,'All 17 saved engineering invest'!F18,'All 17 saved engineering invest'!F19,'All 17 saved engineering invest'!F20,'All 17 saved engineering invest'!F21)</f>
        <v>556919</v>
      </c>
    </row>
    <row r="7">
      <c r="A7" t="inlineStr" s="10">
        <is>
          <t xml:space="preserve">Engineering accounted output-token subtotal</t>
        </is>
      </c>
      <c r="B7" s="12">
        <f>SUM('All 17 saved engineering invest'!G5,'All 17 saved engineering invest'!G6,'All 17 saved engineering invest'!G7,'All 17 saved engineering invest'!G8,'All 17 saved engineering invest'!G9,'All 17 saved engineering invest'!G10,'All 17 saved engineering invest'!G11,'All 17 saved engineering invest'!G12,'All 17 saved engineering invest'!G13,'All 17 saved engineering invest'!G14,'All 17 saved engineering invest'!G15,'All 17 saved engineering invest'!G16,'All 17 saved engineering invest'!G17,'All 17 saved engineering invest'!G18,'All 17 saved engineering invest'!G19,'All 17 saved engineering invest'!G20,'All 17 saved engineering invest'!G21)</f>
        <v>16881</v>
      </c>
    </row>
    <row r="8">
      <c r="A8" t="inlineStr" s="10">
        <is>
          <t xml:space="preserve">Engineering complete-header investigation count</t>
        </is>
      </c>
      <c r="B8" s="12">
        <f>SUM('All 17 saved engineering invest'!P5,'All 17 saved engineering invest'!P6,'All 17 saved engineering invest'!P7,'All 17 saved engineering invest'!P8,'All 17 saved engineering invest'!P9,'All 17 saved engineering invest'!P10,'All 17 saved engineering invest'!P11,'All 17 saved engineering invest'!P12,'All 17 saved engineering invest'!P13,'All 17 saved engineering invest'!P14,'All 17 saved engineering invest'!P15,'All 17 saved engineering invest'!P16,'All 17 saved engineering invest'!P17,'All 17 saved engineering invest'!P18,'All 17 saved engineering invest'!P19,'All 17 saved engineering invest'!P20,'All 17 saved engineering invest'!P21)</f>
        <v>4</v>
      </c>
    </row>
    <row r="9">
      <c r="A9" t="inlineStr" s="10">
        <is>
          <t xml:space="preserve">Engineering unknown-header investigation count</t>
        </is>
      </c>
      <c r="B9" s="12">
        <f>'Engineering costs — observed su'!B5-'Engineering costs — observed su'!B8</f>
        <v>13</v>
      </c>
    </row>
    <row r="10">
      <c r="A10" t="inlineStr" s="10">
        <is>
          <t xml:space="preserve">Engineering latest four gateway accounting subtotal USD</t>
        </is>
      </c>
      <c r="B10" s="14">
        <f>SUM('All 17 saved engineering invest'!I5,'All 17 saved engineering invest'!I6,'All 17 saved engineering invest'!I7,'All 17 saved engineering invest'!I8,'All 17 saved engineering invest'!I9,'All 17 saved engineering invest'!I10,'All 17 saved engineering invest'!I11,'All 17 saved engineering invest'!I12,'All 17 saved engineering invest'!I13,'All 17 saved engineering invest'!I14,'All 17 saved engineering invest'!I15,'All 17 saved engineering invest'!I16,'All 17 saved engineering invest'!I17,'All 17 saved engineering invest'!I18,'All 17 saved engineering invest'!I19,'All 17 saved engineering invest'!I20,'All 17 saved engineering invest'!I21)</f>
        <v>0.9546998999999999</v>
      </c>
    </row>
    <row r="11">
      <c r="A11" t="inlineStr" s="10">
        <is>
          <t xml:space="preserve">Engineering latest four mean gateway accounting USD per attempt</t>
        </is>
      </c>
      <c r="B11" s="14">
        <f>'Engineering costs — observed su'!B10/'Engineering costs — observed su'!B8</f>
        <v>0.23867497499999998</v>
      </c>
    </row>
    <row r="12">
      <c r="A12" t="inlineStr" s="10">
        <is>
          <t xml:space="preserve">Engineering selected confirmed-run gateway accounting USD</t>
        </is>
      </c>
      <c r="B12" s="14">
        <f>IF('All 17 saved engineering invest'!I19="","",'All 17 saved engineering invest'!I19)</f>
        <v>0.1563342</v>
      </c>
    </row>
    <row r="13">
      <c r="A13" t="inlineStr" s="10">
        <is>
          <t xml:space="preserve">Engineering conditional ordinary-rate investigation estimate USD</t>
        </is>
      </c>
      <c r="B13" s="14">
        <f>('Engineering costs — observed su'!B6*'Observed gateway rate metadata'!B5+'Engineering costs — observed su'!B7*'Observed gateway rate metadata'!B6)/1000000</f>
        <v>2.1163692000000003</v>
      </c>
    </row>
    <row r="14">
      <c r="A14" t="inlineStr" s="10">
        <is>
          <t xml:space="preserve">Engineering conditional ordinary-rate estimate including smokes USD</t>
        </is>
      </c>
      <c r="B14" s="14">
        <f>'Engineering costs — observed su'!B13+SUM('Two successful model smoke call'!E5,'Two successful model smoke call'!E6)</f>
        <v>2.117907</v>
      </c>
    </row>
    <row r="15">
      <c r="A15" t="inlineStr" s="10">
        <is>
          <t xml:space="preserve">Engineering complete project gateway accounting USD</t>
        </is>
      </c>
      <c r="B15" t="str" s="11">
        <f>""</f>
        <v/>
      </c>
    </row>
    <row r="16">
      <c r="A16" t="inlineStr" s="10">
        <is>
          <t xml:space="preserve">Engineering project cash invoice charges USD</t>
        </is>
      </c>
      <c r="B16" t="str" s="11">
        <f>""</f>
        <v/>
      </c>
    </row>
    <row r="17">
      <c r="A17" t="inlineStr" s="10">
        <is>
          <t xml:space="preserve">Engineering promotional credit deductions USD</t>
        </is>
      </c>
      <c r="B17" t="str" s="11">
        <f>""</f>
        <v/>
      </c>
    </row>
    <row r="18">
      <c r="A18" t="inlineStr" s="10">
        <is>
          <t xml:space="preserve">Engineering hosted browser cost USD</t>
        </is>
      </c>
      <c r="B18" t="str" s="11">
        <f>""</f>
        <v/>
      </c>
    </row>
    <row r="19">
      <c r="A19" t="inlineStr" s="10">
        <is>
          <t xml:space="preserve">Engineering storage cost USD</t>
        </is>
      </c>
      <c r="B19" t="str" s="11">
        <f>""</f>
        <v/>
      </c>
    </row>
    <row r="20">
      <c r="A20" t="inlineStr" s="10">
        <is>
          <t xml:space="preserve">Engineering coding subscription cost USD</t>
        </is>
      </c>
      <c r="B20" t="str" s="11">
        <f>""</f>
        <v/>
      </c>
    </row>
    <row r="21">
      <c r="A21" t="inlineStr" s="10">
        <is>
          <t xml:space="preserve">Engineering CFO subscription cost USD</t>
        </is>
      </c>
      <c r="B21" t="str" s="11">
        <f>""</f>
        <v/>
      </c>
    </row>
    <row r="22">
      <c r="A22" t="inlineStr" s="10">
        <is>
          <t xml:space="preserve">Engineering all-in commercial cost USD</t>
        </is>
      </c>
      <c r="B22" t="str" s="11">
        <f>""</f>
        <v/>
      </c>
    </row>
    <row r="23">
      <c r="A23" t="inlineStr" s="5">
        <is>
          <t xml:space="preserve">Engineering unknown cost-field status</t>
        </is>
      </c>
      <c r="B23" t="str" s="6">
        <f>"Unknown"</f>
        <v>Unknown</v>
      </c>
    </row>
  </sheetData>
  <mergeCells count="1">
    <mergeCell ref="A1:B1"/>
  </mergeCells>
</worksheet>
</file>

<file path=xl/worksheets/sheet6.xml><?xml version="1.0" encoding="utf-8"?>
<worksheet xmlns="http://schemas.openxmlformats.org/spreadsheetml/2006/main">
  <dimension ref="A1:B98"/>
  <sheetViews>
    <sheetView showGridLines="0" workbookViewId="0">
      <pane xSplit="1" ySplit="5" topLeftCell="B6" activePane="bottomRight" state="frozen"/>
      <selection pane="bottomRight" activeCell="B6" sqref="B6"/>
    </sheetView>
  </sheetViews>
  <sheetFormatPr defaultRowHeight="18"/>
  <cols>
    <col min="1" max="1" width="42" customWidth="1"/>
    <col min="2" max="2" width="19" customWidth="1"/>
  </cols>
  <sheetData>
    <row r="1" ht="32" customHeight="1">
      <c r="A1" t="inlineStr" s="1">
        <is>
          <t xml:space="preserve">Model inputs</t>
        </is>
      </c>
    </row>
    <row r="2" ht="20" customHeight="1">
      <c r="A2" t="inlineStr" s="2">
        <is>
          <t xml:space="preserve">Integration values are aggregated snapshots; raw source records are not included.</t>
        </is>
      </c>
    </row>
    <row r="4">
      <c r="A4" t="inlineStr" s="17">
        <is>
          <t xml:space="preserve">Variables</t>
        </is>
      </c>
    </row>
    <row r="5" ht="22" customHeight="1">
      <c r="A5" t="inlineStr" s="3">
        <is>
          <t xml:space="preserve">Variable / segment</t>
        </is>
      </c>
      <c r="B5" t="inlineStr" s="4">
        <is>
          <t xml:space="preserve">Value</t>
        </is>
      </c>
    </row>
    <row r="6">
      <c r="A6" t="inlineStr" s="18">
        <is>
          <t xml:space="preserve">Engineering accounted header record</t>
        </is>
      </c>
      <c r="B6" s="6">
        <f>IF('Model inputs'!B45="",0,1)</f>
        <v>0</v>
      </c>
    </row>
    <row r="7" outlineLevel="1">
      <c r="A7" t="inlineStr" s="19">
        <is>
          <t xml:space="preserve">Engineering accounted header record &gt; 19ecc208-aa4c-47ce-bc92-5e3523dfae59</t>
        </is>
      </c>
      <c r="B7" s="11">
        <f>IF('Model inputs'!B46="",0,1)</f>
        <v>0</v>
      </c>
    </row>
    <row r="8" outlineLevel="1">
      <c r="A8" t="inlineStr" s="19">
        <is>
          <t xml:space="preserve">Engineering accounted header record &gt; 247e9123-b7aa-46d6-9f36-936a6531960e</t>
        </is>
      </c>
      <c r="B8" s="11">
        <f>IF('Model inputs'!B47="",0,1)</f>
        <v>1</v>
      </c>
    </row>
    <row r="9" outlineLevel="1">
      <c r="A9" t="inlineStr" s="19">
        <is>
          <t xml:space="preserve">Engineering accounted header record &gt; 39b9bed4-fca9-4884-a7b9-3035fc860685</t>
        </is>
      </c>
      <c r="B9" s="11">
        <f>IF('Model inputs'!B48="",0,1)</f>
        <v>0</v>
      </c>
    </row>
    <row r="10" outlineLevel="1">
      <c r="A10" t="inlineStr" s="19">
        <is>
          <t xml:space="preserve">Engineering accounted header record &gt; 5a3547da-c82d-4847-b67e-3985407c7fe3</t>
        </is>
      </c>
      <c r="B10" s="11">
        <f>IF('Model inputs'!B49="",0,1)</f>
        <v>0</v>
      </c>
    </row>
    <row r="11" outlineLevel="1">
      <c r="A11" t="inlineStr" s="19">
        <is>
          <t xml:space="preserve">Engineering accounted header record &gt; 5e7c759d-aedf-4102-b17c-a5f3ecff5104</t>
        </is>
      </c>
      <c r="B11" s="11">
        <f>IF('Model inputs'!B50="",0,1)</f>
        <v>0</v>
      </c>
    </row>
    <row r="12" outlineLevel="1">
      <c r="A12" t="inlineStr" s="19">
        <is>
          <t xml:space="preserve">Engineering accounted header record &gt; 6348e730-4d90-4e40-a3e7-6186a2825ca6</t>
        </is>
      </c>
      <c r="B12" s="11">
        <f>IF('Model inputs'!B51="",0,1)</f>
        <v>0</v>
      </c>
    </row>
    <row r="13" outlineLevel="1">
      <c r="A13" t="inlineStr" s="19">
        <is>
          <t xml:space="preserve">Engineering accounted header record &gt; 66349e06-fc57-4de9-836f-b0a0d7ca0584</t>
        </is>
      </c>
      <c r="B13" s="11">
        <f>IF('Model inputs'!B52="",0,1)</f>
        <v>0</v>
      </c>
    </row>
    <row r="14" outlineLevel="1">
      <c r="A14" t="inlineStr" s="19">
        <is>
          <t xml:space="preserve">Engineering accounted header record &gt; 6992fe74-3395-430a-95ab-d73c207d70b6</t>
        </is>
      </c>
      <c r="B14" s="11">
        <f>IF('Model inputs'!B53="",0,1)</f>
        <v>0</v>
      </c>
    </row>
    <row r="15" outlineLevel="1">
      <c r="A15" t="inlineStr" s="19">
        <is>
          <t xml:space="preserve">Engineering accounted header record &gt; 6d85b46a-df25-42a9-abe9-54978f07d964</t>
        </is>
      </c>
      <c r="B15" s="11">
        <f>IF('Model inputs'!B54="",0,1)</f>
        <v>1</v>
      </c>
    </row>
    <row r="16" outlineLevel="1">
      <c r="A16" t="inlineStr" s="19">
        <is>
          <t xml:space="preserve">Engineering accounted header record &gt; 70582bba-ec4a-4d46-9846-ecc305ec36fb</t>
        </is>
      </c>
      <c r="B16" s="11">
        <f>IF('Model inputs'!B55="",0,1)</f>
        <v>0</v>
      </c>
    </row>
    <row r="17" outlineLevel="1">
      <c r="A17" t="inlineStr" s="19">
        <is>
          <t xml:space="preserve">Engineering accounted header record &gt; 7c259071-2c8c-45ee-8c65-5fafa1395ae7</t>
        </is>
      </c>
      <c r="B17" s="11">
        <f>IF('Model inputs'!B56="",0,1)</f>
        <v>1</v>
      </c>
    </row>
    <row r="18" outlineLevel="1">
      <c r="A18" t="inlineStr" s="19">
        <is>
          <t xml:space="preserve">Engineering accounted header record &gt; 7e60e53a-1a02-4f81-918d-24649030fae0</t>
        </is>
      </c>
      <c r="B18" s="11">
        <f>IF('Model inputs'!B57="",0,1)</f>
        <v>0</v>
      </c>
    </row>
    <row r="19" outlineLevel="1">
      <c r="A19" t="inlineStr" s="19">
        <is>
          <t xml:space="preserve">Engineering accounted header record &gt; 88928c9e-85d5-4806-a8e0-69d59f27790d</t>
        </is>
      </c>
      <c r="B19" s="11">
        <f>IF('Model inputs'!B58="",0,1)</f>
        <v>0</v>
      </c>
    </row>
    <row r="20" outlineLevel="1">
      <c r="A20" t="inlineStr" s="19">
        <is>
          <t xml:space="preserve">Engineering accounted header record &gt; 9bf6f448-a6f3-43a7-9378-93602e6c7dbb</t>
        </is>
      </c>
      <c r="B20" s="11">
        <f>IF('Model inputs'!B59="",0,1)</f>
        <v>0</v>
      </c>
    </row>
    <row r="21" outlineLevel="1">
      <c r="A21" t="inlineStr" s="19">
        <is>
          <t xml:space="preserve">Engineering accounted header record &gt; b8ffd757-6aed-405d-b7ac-ed3b1c4d9236</t>
        </is>
      </c>
      <c r="B21" s="11">
        <f>IF('Model inputs'!B60="",0,1)</f>
        <v>1</v>
      </c>
    </row>
    <row r="22" outlineLevel="1">
      <c r="A22" t="inlineStr" s="19">
        <is>
          <t xml:space="preserve">Engineering accounted header record &gt; c4010a11-3341-416c-a863-52aff89893a5</t>
        </is>
      </c>
      <c r="B22" s="11">
        <f>IF('Model inputs'!B61="",0,1)</f>
        <v>0</v>
      </c>
    </row>
    <row r="23" outlineLevel="1">
      <c r="A23" t="inlineStr" s="19">
        <is>
          <t xml:space="preserve">Engineering accounted header record &gt; e07bdfa3-c839-4e68-b784-640244403b2c</t>
        </is>
      </c>
      <c r="B23" s="11">
        <f>IF('Model inputs'!B62="",0,1)</f>
        <v>0</v>
      </c>
    </row>
    <row r="24">
      <c r="A24" t="inlineStr" s="18">
        <is>
          <t xml:space="preserve">Engineering smoke configured non-cache estimate USD</t>
        </is>
      </c>
      <c r="B24" t="str" s="6">
        <f>""</f>
        <v/>
      </c>
    </row>
    <row r="25" outlineLevel="1">
      <c r="A25" t="inlineStr" s="19">
        <is>
          <t xml:space="preserve">Engineering smoke configured non-cache estimate USD &gt; 2026-10-11T18:07:47.476Z</t>
        </is>
      </c>
      <c r="B25" s="11">
        <f>'Two successful model smoke call'!E5</f>
        <v>0.0007689</v>
      </c>
    </row>
    <row r="26" outlineLevel="1">
      <c r="A26" t="inlineStr" s="19">
        <is>
          <t xml:space="preserve">Engineering smoke configured non-cache estimate USD &gt; 2026-10-12T15:00:41.009Z</t>
        </is>
      </c>
      <c r="B26" s="11">
        <f>'Two successful model smoke call'!E6</f>
        <v>0.0007689</v>
      </c>
    </row>
    <row r="27">
      <c r="A27" t="inlineStr" s="18">
        <is>
          <t xml:space="preserve">Engineering output tokens</t>
        </is>
      </c>
      <c r="B27" t="str" s="6">
        <f>""</f>
        <v/>
      </c>
    </row>
    <row r="28" outlineLevel="1">
      <c r="A28" t="inlineStr" s="19">
        <is>
          <t xml:space="preserve">Engineering output tokens &gt; 19ecc208-aa4c-47ce-bc92-5e3523dfae59</t>
        </is>
      </c>
      <c r="B28" s="11">
        <f>'All 17 saved engineering invest'!G16</f>
        <v>2605</v>
      </c>
    </row>
    <row r="29" outlineLevel="1">
      <c r="A29" t="inlineStr" s="19">
        <is>
          <t xml:space="preserve">Engineering output tokens &gt; 247e9123-b7aa-46d6-9f36-936a6531960e</t>
        </is>
      </c>
      <c r="B29" s="11">
        <f>'All 17 saved engineering invest'!G18</f>
        <v>2220</v>
      </c>
    </row>
    <row r="30" outlineLevel="1">
      <c r="A30" t="inlineStr" s="19">
        <is>
          <t xml:space="preserve">Engineering output tokens &gt; 39b9bed4-fca9-4884-a7b9-3035fc860685</t>
        </is>
      </c>
      <c r="B30" s="11">
        <f>'All 17 saved engineering invest'!G9</f>
        <v>268</v>
      </c>
    </row>
    <row r="31" outlineLevel="1">
      <c r="A31" t="inlineStr" s="19">
        <is>
          <t xml:space="preserve">Engineering output tokens &gt; 5a3547da-c82d-4847-b67e-3985407c7fe3</t>
        </is>
      </c>
      <c r="B31" s="11">
        <f>'All 17 saved engineering invest'!G14</f>
        <v>767</v>
      </c>
    </row>
    <row r="32" outlineLevel="1">
      <c r="A32" t="inlineStr" s="19">
        <is>
          <t xml:space="preserve">Engineering output tokens &gt; 5e7c759d-aedf-4102-b17c-a5f3ecff5104</t>
        </is>
      </c>
      <c r="B32" s="11">
        <f>'All 17 saved engineering invest'!G15</f>
        <v>2195</v>
      </c>
    </row>
    <row r="33" outlineLevel="1">
      <c r="A33" t="inlineStr" s="19">
        <is>
          <t xml:space="preserve">Engineering output tokens &gt; 6348e730-4d90-4e40-a3e7-6186a2825ca6</t>
        </is>
      </c>
      <c r="B33" s="11">
        <f>'All 17 saved engineering invest'!G11</f>
        <v>293</v>
      </c>
    </row>
    <row r="34" outlineLevel="1">
      <c r="A34" t="inlineStr" s="19">
        <is>
          <t xml:space="preserve">Engineering output tokens &gt; 66349e06-fc57-4de9-836f-b0a0d7ca0584</t>
        </is>
      </c>
      <c r="B34" t="str" s="11">
        <f>""</f>
        <v/>
      </c>
    </row>
    <row r="35" outlineLevel="1">
      <c r="A35" t="inlineStr" s="19">
        <is>
          <t xml:space="preserve">Engineering output tokens &gt; 6992fe74-3395-430a-95ab-d73c207d70b6</t>
        </is>
      </c>
      <c r="B35" s="11">
        <f>'All 17 saved engineering invest'!G7</f>
        <v>328</v>
      </c>
    </row>
    <row r="36" outlineLevel="1">
      <c r="A36" t="inlineStr" s="19">
        <is>
          <t xml:space="preserve">Engineering output tokens &gt; 6d85b46a-df25-42a9-abe9-54978f07d964</t>
        </is>
      </c>
      <c r="B36" s="11">
        <f>'All 17 saved engineering invest'!G21</f>
        <v>2476</v>
      </c>
    </row>
    <row r="37" outlineLevel="1">
      <c r="A37" t="inlineStr" s="19">
        <is>
          <t xml:space="preserve">Engineering output tokens &gt; 70582bba-ec4a-4d46-9846-ecc305ec36fb</t>
        </is>
      </c>
      <c r="B37" s="11">
        <f>'All 17 saved engineering invest'!G10</f>
        <v>323</v>
      </c>
    </row>
    <row r="38" outlineLevel="1">
      <c r="A38" t="inlineStr" s="19">
        <is>
          <t xml:space="preserve">Engineering output tokens &gt; 7c259071-2c8c-45ee-8c65-5fafa1395ae7</t>
        </is>
      </c>
      <c r="B38" s="11">
        <f>'All 17 saved engineering invest'!G20</f>
        <v>2245</v>
      </c>
    </row>
    <row r="39" outlineLevel="1">
      <c r="A39" t="inlineStr" s="19">
        <is>
          <t xml:space="preserve">Engineering output tokens &gt; 7e60e53a-1a02-4f81-918d-24649030fae0</t>
        </is>
      </c>
      <c r="B39" s="11">
        <f>'All 17 saved engineering invest'!G8</f>
        <v>310</v>
      </c>
    </row>
    <row r="40" outlineLevel="1">
      <c r="A40" t="inlineStr" s="19">
        <is>
          <t xml:space="preserve">Engineering output tokens &gt; 88928c9e-85d5-4806-a8e0-69d59f27790d</t>
        </is>
      </c>
      <c r="B40" s="11">
        <f>'All 17 saved engineering invest'!G12</f>
        <v>339</v>
      </c>
    </row>
    <row r="41" outlineLevel="1">
      <c r="A41" t="inlineStr" s="19">
        <is>
          <t xml:space="preserve">Engineering output tokens &gt; 9bf6f448-a6f3-43a7-9378-93602e6c7dbb</t>
        </is>
      </c>
      <c r="B41" s="11">
        <f>'All 17 saved engineering invest'!G13</f>
        <v>261</v>
      </c>
    </row>
    <row r="42" outlineLevel="1">
      <c r="A42" t="inlineStr" s="19">
        <is>
          <t xml:space="preserve">Engineering output tokens &gt; b8ffd757-6aed-405d-b7ac-ed3b1c4d9236</t>
        </is>
      </c>
      <c r="B42" s="11">
        <f>'All 17 saved engineering invest'!G19</f>
        <v>1261</v>
      </c>
    </row>
    <row r="43" outlineLevel="1">
      <c r="A43" t="inlineStr" s="19">
        <is>
          <t xml:space="preserve">Engineering output tokens &gt; c4010a11-3341-416c-a863-52aff89893a5</t>
        </is>
      </c>
      <c r="B43" s="11">
        <f>'All 17 saved engineering invest'!G17</f>
        <v>599</v>
      </c>
    </row>
    <row r="44" outlineLevel="1">
      <c r="A44" t="inlineStr" s="19">
        <is>
          <t xml:space="preserve">Engineering output tokens &gt; e07bdfa3-c839-4e68-b784-640244403b2c</t>
        </is>
      </c>
      <c r="B44" s="11">
        <f>'All 17 saved engineering invest'!G6</f>
        <v>391</v>
      </c>
    </row>
    <row r="45">
      <c r="A45" t="inlineStr" s="18">
        <is>
          <t xml:space="preserve">Engineering response-header gateway accounting USD</t>
        </is>
      </c>
      <c r="B45" t="str" s="6">
        <f>""</f>
        <v/>
      </c>
    </row>
    <row r="46" outlineLevel="1">
      <c r="A46" t="inlineStr" s="19">
        <is>
          <t xml:space="preserve">Engineering response-header gateway accounting USD &gt; 19ecc208-aa4c-47ce-bc92-5e3523dfae59</t>
        </is>
      </c>
      <c r="B46" t="str" s="11">
        <f>""</f>
        <v/>
      </c>
    </row>
    <row r="47" outlineLevel="1">
      <c r="A47" t="inlineStr" s="19">
        <is>
          <t xml:space="preserve">Engineering response-header gateway accounting USD &gt; 247e9123-b7aa-46d6-9f36-936a6531960e</t>
        </is>
      </c>
      <c r="B47" s="11">
        <f>'All 17 saved engineering invest'!I18</f>
        <v>0.2356695</v>
      </c>
    </row>
    <row r="48" outlineLevel="1">
      <c r="A48" t="inlineStr" s="19">
        <is>
          <t xml:space="preserve">Engineering response-header gateway accounting USD &gt; 39b9bed4-fca9-4884-a7b9-3035fc860685</t>
        </is>
      </c>
      <c r="B48" t="str" s="11">
        <f>""</f>
        <v/>
      </c>
    </row>
    <row r="49" outlineLevel="1">
      <c r="A49" t="inlineStr" s="19">
        <is>
          <t xml:space="preserve">Engineering response-header gateway accounting USD &gt; 5a3547da-c82d-4847-b67e-3985407c7fe3</t>
        </is>
      </c>
      <c r="B49" t="str" s="11">
        <f>""</f>
        <v/>
      </c>
    </row>
    <row r="50" outlineLevel="1">
      <c r="A50" t="inlineStr" s="19">
        <is>
          <t xml:space="preserve">Engineering response-header gateway accounting USD &gt; 5e7c759d-aedf-4102-b17c-a5f3ecff5104</t>
        </is>
      </c>
      <c r="B50" t="str" s="11">
        <f>""</f>
        <v/>
      </c>
    </row>
    <row r="51" outlineLevel="1">
      <c r="A51" t="inlineStr" s="19">
        <is>
          <t xml:space="preserve">Engineering response-header gateway accounting USD &gt; 6348e730-4d90-4e40-a3e7-6186a2825ca6</t>
        </is>
      </c>
      <c r="B51" t="str" s="11">
        <f>""</f>
        <v/>
      </c>
    </row>
    <row r="52" outlineLevel="1">
      <c r="A52" t="inlineStr" s="19">
        <is>
          <t xml:space="preserve">Engineering response-header gateway accounting USD &gt; 66349e06-fc57-4de9-836f-b0a0d7ca0584</t>
        </is>
      </c>
      <c r="B52" t="str" s="11">
        <f>""</f>
        <v/>
      </c>
    </row>
    <row r="53" outlineLevel="1">
      <c r="A53" t="inlineStr" s="19">
        <is>
          <t xml:space="preserve">Engineering response-header gateway accounting USD &gt; 6992fe74-3395-430a-95ab-d73c207d70b6</t>
        </is>
      </c>
      <c r="B53" t="str" s="11">
        <f>""</f>
        <v/>
      </c>
    </row>
    <row r="54" outlineLevel="1">
      <c r="A54" t="inlineStr" s="19">
        <is>
          <t xml:space="preserve">Engineering response-header gateway accounting USD &gt; 6d85b46a-df25-42a9-abe9-54978f07d964</t>
        </is>
      </c>
      <c r="B54" s="11">
        <f>'All 17 saved engineering invest'!I21</f>
        <v>0.3121767</v>
      </c>
    </row>
    <row r="55" outlineLevel="1">
      <c r="A55" t="inlineStr" s="19">
        <is>
          <t xml:space="preserve">Engineering response-header gateway accounting USD &gt; 70582bba-ec4a-4d46-9846-ecc305ec36fb</t>
        </is>
      </c>
      <c r="B55" t="str" s="11">
        <f>""</f>
        <v/>
      </c>
    </row>
    <row r="56" outlineLevel="1">
      <c r="A56" t="inlineStr" s="19">
        <is>
          <t xml:space="preserve">Engineering response-header gateway accounting USD &gt; 7c259071-2c8c-45ee-8c65-5fafa1395ae7</t>
        </is>
      </c>
      <c r="B56" s="11">
        <f>'All 17 saved engineering invest'!I20</f>
        <v>0.2505195</v>
      </c>
    </row>
    <row r="57" outlineLevel="1">
      <c r="A57" t="inlineStr" s="19">
        <is>
          <t xml:space="preserve">Engineering response-header gateway accounting USD &gt; 7e60e53a-1a02-4f81-918d-24649030fae0</t>
        </is>
      </c>
      <c r="B57" t="str" s="11">
        <f>""</f>
        <v/>
      </c>
    </row>
    <row r="58" outlineLevel="1">
      <c r="A58" t="inlineStr" s="19">
        <is>
          <t xml:space="preserve">Engineering response-header gateway accounting USD &gt; 88928c9e-85d5-4806-a8e0-69d59f27790d</t>
        </is>
      </c>
      <c r="B58" t="str" s="11">
        <f>""</f>
        <v/>
      </c>
    </row>
    <row r="59" outlineLevel="1">
      <c r="A59" t="inlineStr" s="19">
        <is>
          <t xml:space="preserve">Engineering response-header gateway accounting USD &gt; 9bf6f448-a6f3-43a7-9378-93602e6c7dbb</t>
        </is>
      </c>
      <c r="B59" t="str" s="11">
        <f>""</f>
        <v/>
      </c>
    </row>
    <row r="60" outlineLevel="1">
      <c r="A60" t="inlineStr" s="19">
        <is>
          <t xml:space="preserve">Engineering response-header gateway accounting USD &gt; b8ffd757-6aed-405d-b7ac-ed3b1c4d9236</t>
        </is>
      </c>
      <c r="B60" s="11">
        <f>'All 17 saved engineering invest'!I19</f>
        <v>0.1563342</v>
      </c>
    </row>
    <row r="61" outlineLevel="1">
      <c r="A61" t="inlineStr" s="19">
        <is>
          <t xml:space="preserve">Engineering response-header gateway accounting USD &gt; c4010a11-3341-416c-a863-52aff89893a5</t>
        </is>
      </c>
      <c r="B61" t="str" s="11">
        <f>""</f>
        <v/>
      </c>
    </row>
    <row r="62" outlineLevel="1">
      <c r="A62" t="inlineStr" s="19">
        <is>
          <t xml:space="preserve">Engineering response-header gateway accounting USD &gt; e07bdfa3-c839-4e68-b784-640244403b2c</t>
        </is>
      </c>
      <c r="B62" t="str" s="11">
        <f>""</f>
        <v/>
      </c>
    </row>
    <row r="63">
      <c r="A63" t="inlineStr" s="18">
        <is>
          <t xml:space="preserve">Engineering record count</t>
        </is>
      </c>
      <c r="B63" s="6">
        <f>1</f>
        <v>1</v>
      </c>
    </row>
    <row r="64" outlineLevel="1">
      <c r="A64" t="inlineStr" s="19">
        <is>
          <t xml:space="preserve">Engineering record count &gt; 19ecc208-aa4c-47ce-bc92-5e3523dfae59</t>
        </is>
      </c>
      <c r="B64" s="11">
        <f>'All 17 saved engineering invest'!O16</f>
        <v>1</v>
      </c>
    </row>
    <row r="65" outlineLevel="1">
      <c r="A65" t="inlineStr" s="19">
        <is>
          <t xml:space="preserve">Engineering record count &gt; 247e9123-b7aa-46d6-9f36-936a6531960e</t>
        </is>
      </c>
      <c r="B65" s="11">
        <f>'All 17 saved engineering invest'!O18</f>
        <v>1</v>
      </c>
    </row>
    <row r="66" outlineLevel="1">
      <c r="A66" t="inlineStr" s="19">
        <is>
          <t xml:space="preserve">Engineering record count &gt; 39b9bed4-fca9-4884-a7b9-3035fc860685</t>
        </is>
      </c>
      <c r="B66" s="11">
        <f>'All 17 saved engineering invest'!O9</f>
        <v>1</v>
      </c>
    </row>
    <row r="67" outlineLevel="1">
      <c r="A67" t="inlineStr" s="19">
        <is>
          <t xml:space="preserve">Engineering record count &gt; 5a3547da-c82d-4847-b67e-3985407c7fe3</t>
        </is>
      </c>
      <c r="B67" s="11">
        <f>'All 17 saved engineering invest'!O14</f>
        <v>1</v>
      </c>
    </row>
    <row r="68" outlineLevel="1">
      <c r="A68" t="inlineStr" s="19">
        <is>
          <t xml:space="preserve">Engineering record count &gt; 5e7c759d-aedf-4102-b17c-a5f3ecff5104</t>
        </is>
      </c>
      <c r="B68" s="11">
        <f>'All 17 saved engineering invest'!O15</f>
        <v>1</v>
      </c>
    </row>
    <row r="69" outlineLevel="1">
      <c r="A69" t="inlineStr" s="19">
        <is>
          <t xml:space="preserve">Engineering record count &gt; 6348e730-4d90-4e40-a3e7-6186a2825ca6</t>
        </is>
      </c>
      <c r="B69" s="11">
        <f>'All 17 saved engineering invest'!O11</f>
        <v>1</v>
      </c>
    </row>
    <row r="70" outlineLevel="1">
      <c r="A70" t="inlineStr" s="19">
        <is>
          <t xml:space="preserve">Engineering record count &gt; 66349e06-fc57-4de9-836f-b0a0d7ca0584</t>
        </is>
      </c>
      <c r="B70" s="11">
        <f>'All 17 saved engineering invest'!O5</f>
        <v>1</v>
      </c>
    </row>
    <row r="71" outlineLevel="1">
      <c r="A71" t="inlineStr" s="19">
        <is>
          <t xml:space="preserve">Engineering record count &gt; 6992fe74-3395-430a-95ab-d73c207d70b6</t>
        </is>
      </c>
      <c r="B71" s="11">
        <f>'All 17 saved engineering invest'!O7</f>
        <v>1</v>
      </c>
    </row>
    <row r="72" outlineLevel="1">
      <c r="A72" t="inlineStr" s="19">
        <is>
          <t xml:space="preserve">Engineering record count &gt; 6d85b46a-df25-42a9-abe9-54978f07d964</t>
        </is>
      </c>
      <c r="B72" s="11">
        <f>'All 17 saved engineering invest'!O21</f>
        <v>1</v>
      </c>
    </row>
    <row r="73" outlineLevel="1">
      <c r="A73" t="inlineStr" s="19">
        <is>
          <t xml:space="preserve">Engineering record count &gt; 70582bba-ec4a-4d46-9846-ecc305ec36fb</t>
        </is>
      </c>
      <c r="B73" s="11">
        <f>'All 17 saved engineering invest'!O10</f>
        <v>1</v>
      </c>
    </row>
    <row r="74" outlineLevel="1">
      <c r="A74" t="inlineStr" s="19">
        <is>
          <t xml:space="preserve">Engineering record count &gt; 7c259071-2c8c-45ee-8c65-5fafa1395ae7</t>
        </is>
      </c>
      <c r="B74" s="11">
        <f>'All 17 saved engineering invest'!O20</f>
        <v>1</v>
      </c>
    </row>
    <row r="75" outlineLevel="1">
      <c r="A75" t="inlineStr" s="19">
        <is>
          <t xml:space="preserve">Engineering record count &gt; 7e60e53a-1a02-4f81-918d-24649030fae0</t>
        </is>
      </c>
      <c r="B75" s="11">
        <f>'All 17 saved engineering invest'!O8</f>
        <v>1</v>
      </c>
    </row>
    <row r="76" outlineLevel="1">
      <c r="A76" t="inlineStr" s="19">
        <is>
          <t xml:space="preserve">Engineering record count &gt; 88928c9e-85d5-4806-a8e0-69d59f27790d</t>
        </is>
      </c>
      <c r="B76" s="11">
        <f>'All 17 saved engineering invest'!O12</f>
        <v>1</v>
      </c>
    </row>
    <row r="77" outlineLevel="1">
      <c r="A77" t="inlineStr" s="19">
        <is>
          <t xml:space="preserve">Engineering record count &gt; 9bf6f448-a6f3-43a7-9378-93602e6c7dbb</t>
        </is>
      </c>
      <c r="B77" s="11">
        <f>'All 17 saved engineering invest'!O13</f>
        <v>1</v>
      </c>
    </row>
    <row r="78" outlineLevel="1">
      <c r="A78" t="inlineStr" s="19">
        <is>
          <t xml:space="preserve">Engineering record count &gt; b8ffd757-6aed-405d-b7ac-ed3b1c4d9236</t>
        </is>
      </c>
      <c r="B78" s="11">
        <f>'All 17 saved engineering invest'!O19</f>
        <v>1</v>
      </c>
    </row>
    <row r="79" outlineLevel="1">
      <c r="A79" t="inlineStr" s="19">
        <is>
          <t xml:space="preserve">Engineering record count &gt; c4010a11-3341-416c-a863-52aff89893a5</t>
        </is>
      </c>
      <c r="B79" s="11">
        <f>'All 17 saved engineering invest'!O17</f>
        <v>1</v>
      </c>
    </row>
    <row r="80" outlineLevel="1">
      <c r="A80" t="inlineStr" s="19">
        <is>
          <t xml:space="preserve">Engineering record count &gt; e07bdfa3-c839-4e68-b784-640244403b2c</t>
        </is>
      </c>
      <c r="B80" s="11">
        <f>'All 17 saved engineering invest'!O6</f>
        <v>1</v>
      </c>
    </row>
    <row r="81">
      <c r="A81" t="inlineStr" s="18">
        <is>
          <t xml:space="preserve">Engineering input tokens</t>
        </is>
      </c>
      <c r="B81" t="str" s="6">
        <f>""</f>
        <v/>
      </c>
    </row>
    <row r="82" outlineLevel="1">
      <c r="A82" t="inlineStr" s="19">
        <is>
          <t xml:space="preserve">Engineering input tokens &gt; 19ecc208-aa4c-47ce-bc92-5e3523dfae59</t>
        </is>
      </c>
      <c r="B82" s="11">
        <f>'All 17 saved engineering invest'!F16</f>
        <v>115544</v>
      </c>
    </row>
    <row r="83" outlineLevel="1">
      <c r="A83" t="inlineStr" s="19">
        <is>
          <t xml:space="preserve">Engineering input tokens &gt; 247e9123-b7aa-46d6-9f36-936a6531960e</t>
        </is>
      </c>
      <c r="B83" s="11">
        <f>'All 17 saved engineering invest'!F18</f>
        <v>60315</v>
      </c>
    </row>
    <row r="84" outlineLevel="1">
      <c r="A84" t="inlineStr" s="19">
        <is>
          <t xml:space="preserve">Engineering input tokens &gt; 39b9bed4-fca9-4884-a7b9-3035fc860685</t>
        </is>
      </c>
      <c r="B84" s="11">
        <f>'All 17 saved engineering invest'!F9</f>
        <v>8592</v>
      </c>
    </row>
    <row r="85" outlineLevel="1">
      <c r="A85" t="inlineStr" s="19">
        <is>
          <t xml:space="preserve">Engineering input tokens &gt; 5a3547da-c82d-4847-b67e-3985407c7fe3</t>
        </is>
      </c>
      <c r="B85" s="11">
        <f>'All 17 saved engineering invest'!F14</f>
        <v>26994</v>
      </c>
    </row>
    <row r="86" outlineLevel="1">
      <c r="A86" t="inlineStr" s="19">
        <is>
          <t xml:space="preserve">Engineering input tokens &gt; 5e7c759d-aedf-4102-b17c-a5f3ecff5104</t>
        </is>
      </c>
      <c r="B86" s="11">
        <f>'All 17 saved engineering invest'!F15</f>
        <v>65169</v>
      </c>
    </row>
    <row r="87" outlineLevel="1">
      <c r="A87" t="inlineStr" s="19">
        <is>
          <t xml:space="preserve">Engineering input tokens &gt; 6348e730-4d90-4e40-a3e7-6186a2825ca6</t>
        </is>
      </c>
      <c r="B87" s="11">
        <f>'All 17 saved engineering invest'!F11</f>
        <v>11322</v>
      </c>
    </row>
    <row r="88" outlineLevel="1">
      <c r="A88" t="inlineStr" s="19">
        <is>
          <t xml:space="preserve">Engineering input tokens &gt; 66349e06-fc57-4de9-836f-b0a0d7ca0584</t>
        </is>
      </c>
      <c r="B88" t="str" s="11">
        <f>""</f>
        <v/>
      </c>
    </row>
    <row r="89" outlineLevel="1">
      <c r="A89" t="inlineStr" s="19">
        <is>
          <t xml:space="preserve">Engineering input tokens &gt; 6992fe74-3395-430a-95ab-d73c207d70b6</t>
        </is>
      </c>
      <c r="B89" s="11">
        <f>'All 17 saved engineering invest'!F7</f>
        <v>8635</v>
      </c>
    </row>
    <row r="90" outlineLevel="1">
      <c r="A90" t="inlineStr" s="19">
        <is>
          <t xml:space="preserve">Engineering input tokens &gt; 6d85b46a-df25-42a9-abe9-54978f07d964</t>
        </is>
      </c>
      <c r="B90" s="11">
        <f>'All 17 saved engineering invest'!F21</f>
        <v>82219</v>
      </c>
    </row>
    <row r="91" outlineLevel="1">
      <c r="A91" t="inlineStr" s="19">
        <is>
          <t xml:space="preserve">Engineering input tokens &gt; 70582bba-ec4a-4d46-9846-ecc305ec36fb</t>
        </is>
      </c>
      <c r="B91" s="11">
        <f>'All 17 saved engineering invest'!F10</f>
        <v>11250</v>
      </c>
    </row>
    <row r="92" outlineLevel="1">
      <c r="A92" t="inlineStr" s="19">
        <is>
          <t xml:space="preserve">Engineering input tokens &gt; 7c259071-2c8c-45ee-8c65-5fafa1395ae7</t>
        </is>
      </c>
      <c r="B92" s="11">
        <f>'All 17 saved engineering invest'!F20</f>
        <v>64690</v>
      </c>
    </row>
    <row r="93" outlineLevel="1">
      <c r="A93" t="inlineStr" s="19">
        <is>
          <t xml:space="preserve">Engineering input tokens &gt; 7e60e53a-1a02-4f81-918d-24649030fae0</t>
        </is>
      </c>
      <c r="B93" s="11">
        <f>'All 17 saved engineering invest'!F8</f>
        <v>8530</v>
      </c>
    </row>
    <row r="94" outlineLevel="1">
      <c r="A94" t="inlineStr" s="19">
        <is>
          <t xml:space="preserve">Engineering input tokens &gt; 88928c9e-85d5-4806-a8e0-69d59f27790d</t>
        </is>
      </c>
      <c r="B94" s="11">
        <f>'All 17 saved engineering invest'!F12</f>
        <v>11276</v>
      </c>
    </row>
    <row r="95" outlineLevel="1">
      <c r="A95" t="inlineStr" s="19">
        <is>
          <t xml:space="preserve">Engineering input tokens &gt; 9bf6f448-a6f3-43a7-9378-93602e6c7dbb</t>
        </is>
      </c>
      <c r="B95" s="11">
        <f>'All 17 saved engineering invest'!F13</f>
        <v>11208</v>
      </c>
    </row>
    <row r="96" outlineLevel="1">
      <c r="A96" t="inlineStr" s="19">
        <is>
          <t xml:space="preserve">Engineering input tokens &gt; b8ffd757-6aed-405d-b7ac-ed3b1c4d9236</t>
        </is>
      </c>
      <c r="B96" s="11">
        <f>'All 17 saved engineering invest'!F19</f>
        <v>41069</v>
      </c>
    </row>
    <row r="97" outlineLevel="1">
      <c r="A97" t="inlineStr" s="19">
        <is>
          <t xml:space="preserve">Engineering input tokens &gt; c4010a11-3341-416c-a863-52aff89893a5</t>
        </is>
      </c>
      <c r="B97" s="11">
        <f>'All 17 saved engineering invest'!F17</f>
        <v>18847</v>
      </c>
    </row>
    <row r="98" outlineLevel="1">
      <c r="A98" t="inlineStr" s="19">
        <is>
          <t xml:space="preserve">Engineering input tokens &gt; e07bdfa3-c839-4e68-b784-640244403b2c</t>
        </is>
      </c>
      <c r="B98" s="11">
        <f>'All 17 saved engineering invest'!F6</f>
        <v>11259</v>
      </c>
    </row>
  </sheetData>
  <mergeCells count="2">
    <mergeCell ref="A1:B1"/>
    <mergeCell ref="A2:B2"/>
  </mergeCells>
</worksheet>
</file>