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Assumptions" sheetId="2" state="visible" r:id="rId3"/>
    <sheet name="Monthly cash" sheetId="3" state="visible" r:id="rId4"/>
    <sheet name="Price-cost sensitivity" sheetId="4" state="visible" r:id="rId5"/>
    <sheet name="Assumptions vs actuals" sheetId="5" state="visible" r:id="rId6"/>
    <sheet name="Base forecast" sheetId="6" state="visible" r:id="rId7"/>
    <sheet name="Downside forecast" sheetId="7" state="visible" r:id="rId8"/>
    <sheet name="Credits" sheetId="8" state="visible" r:id="rId9"/>
    <sheet name="Read me" sheetId="9" state="visible" r:id="rId10"/>
  </sheets>
  <definedNames>
    <definedName function="false" hidden="true" localSheetId="4" name="_xlnm._FilterDatabase" vbProcedure="false">'Assumptions vs actuals'!$A$12:$M$212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<sst xmlns="http://schemas.openxmlformats.org/spreadsheetml/2006/main" count="197" uniqueCount="129">
  <si>
    <t xml:space="preserve">BugReplay — Base and Downside planning summary</t>
  </si>
  <si>
    <t xml:space="preserve">Selected case</t>
  </si>
  <si>
    <t xml:space="preserve">Cost basis</t>
  </si>
  <si>
    <t xml:space="preserve">Measure</t>
  </si>
  <si>
    <t xml:space="preserve">Base</t>
  </si>
  <si>
    <t xml:space="preserve">Downside</t>
  </si>
  <si>
    <t xml:space="preserve">Annual revenue</t>
  </si>
  <si>
    <t xml:space="preserve">Contribution before hosting</t>
  </si>
  <si>
    <t xml:space="preserve">Gross profit after hosting</t>
  </si>
  <si>
    <t xml:space="preserve">Gross margin</t>
  </si>
  <si>
    <t xml:space="preserve">Final cash</t>
  </si>
  <si>
    <t xml:space="preserve">Closing teams</t>
  </si>
  <si>
    <t xml:space="preserve">First negative month</t>
  </si>
  <si>
    <t xml:space="preserve">No paying customers or validated prices. Negative cash is unfunded need, not assumed debt.</t>
  </si>
  <si>
    <t xml:space="preserve">Tax, debt, capex and working-capital timing excluded. Month-end liquidity test, not intra-month.</t>
  </si>
  <si>
    <t xml:space="preserve">BugReplay editable planning assumptions — USD</t>
  </si>
  <si>
    <t xml:space="preserve">Case selector</t>
  </si>
  <si>
    <t xml:space="preserve">Planning</t>
  </si>
  <si>
    <t xml:space="preserve">Driver</t>
  </si>
  <si>
    <t xml:space="preserve">Unit / definition</t>
  </si>
  <si>
    <t xml:space="preserve">Opening cash</t>
  </si>
  <si>
    <t xml:space="preserve">USD</t>
  </si>
  <si>
    <t xml:space="preserve">Opening teams</t>
  </si>
  <si>
    <t xml:space="preserve">teams</t>
  </si>
  <si>
    <t xml:space="preserve">Price per team</t>
  </si>
  <si>
    <t xml:space="preserve">USD/month</t>
  </si>
  <si>
    <t xml:space="preserve">Included investigations</t>
  </si>
  <si>
    <t xml:space="preserve">runs/team/month</t>
  </si>
  <si>
    <t xml:space="preserve">Churn</t>
  </si>
  <si>
    <t xml:space="preserve">fraction of opening teams</t>
  </si>
  <si>
    <t xml:space="preserve">Utilization</t>
  </si>
  <si>
    <t xml:space="preserve">fraction of allowance</t>
  </si>
  <si>
    <t xml:space="preserve">Inference cost</t>
  </si>
  <si>
    <t xml:space="preserve">USD/run, commercial</t>
  </si>
  <si>
    <t xml:space="preserve">Browser cost</t>
  </si>
  <si>
    <t xml:space="preserve">USD/run</t>
  </si>
  <si>
    <t xml:space="preserve">Storage cost</t>
  </si>
  <si>
    <t xml:space="preserve">Payment fee rate</t>
  </si>
  <si>
    <t xml:space="preserve">fraction of revenue</t>
  </si>
  <si>
    <t xml:space="preserve">Payment fee per team</t>
  </si>
  <si>
    <t xml:space="preserve">Fixed hosting</t>
  </si>
  <si>
    <t xml:space="preserve">Founder/contractor</t>
  </si>
  <si>
    <t xml:space="preserve">Marketing</t>
  </si>
  <si>
    <t xml:space="preserve">Other operating spend</t>
  </si>
  <si>
    <t xml:space="preserve">Contribution target</t>
  </si>
  <si>
    <t xml:space="preserve">before hosting</t>
  </si>
  <si>
    <t xml:space="preserve">Monthly new teams</t>
  </si>
  <si>
    <t xml:space="preserve">Month</t>
  </si>
  <si>
    <t xml:space="preserve">All values are illustrative assumptions. No measured paying customers or validated prices.</t>
  </si>
  <si>
    <t xml:space="preserve">Selected monthly cash and runway — USD</t>
  </si>
  <si>
    <t xml:space="preserve">New teams</t>
  </si>
  <si>
    <t xml:space="preserve">Churned teams</t>
  </si>
  <si>
    <t xml:space="preserve">Investigations</t>
  </si>
  <si>
    <t xml:space="preserve">Revenue</t>
  </si>
  <si>
    <t xml:space="preserve">Run cost per investigation</t>
  </si>
  <si>
    <t xml:space="preserve">Investigation variable cost</t>
  </si>
  <si>
    <t xml:space="preserve">Payment fees</t>
  </si>
  <si>
    <t xml:space="preserve">Total variable cost</t>
  </si>
  <si>
    <t xml:space="preserve">Contribution margin before hosting</t>
  </si>
  <si>
    <t xml:space="preserve">Gross profit</t>
  </si>
  <si>
    <t xml:space="preserve">Founder/contractor cash pay</t>
  </si>
  <si>
    <t xml:space="preserve">Total operating spend</t>
  </si>
  <si>
    <t xml:space="preserve">Operating cash flow</t>
  </si>
  <si>
    <t xml:space="preserve">Closing cash</t>
  </si>
  <si>
    <t xml:space="preserve">Negative cash flag</t>
  </si>
  <si>
    <t xml:space="preserve">Unfunded deficit</t>
  </si>
  <si>
    <t xml:space="preserve">First negative cash</t>
  </si>
  <si>
    <t xml:space="preserve">Contribution before hosting — price and all-run cost</t>
  </si>
  <si>
    <t xml:space="preserve">Selected price</t>
  </si>
  <si>
    <t xml:space="preserve">Included runs</t>
  </si>
  <si>
    <t xml:space="preserve">Fee rate</t>
  </si>
  <si>
    <t xml:space="preserve">Fee / team</t>
  </si>
  <si>
    <t xml:space="preserve">Target contribution</t>
  </si>
  <si>
    <t xml:space="preserve">Selected assumed run cost</t>
  </si>
  <si>
    <t xml:space="preserve">Full-allowance contribution margin</t>
  </si>
  <si>
    <t xml:space="preserve">Max run cost at target</t>
  </si>
  <si>
    <t xml:space="preserve">Min price at target</t>
  </si>
  <si>
    <t xml:space="preserve">Max whole allowance at target</t>
  </si>
  <si>
    <t xml:space="preserve">Run cost / price</t>
  </si>
  <si>
    <t xml:space="preserve">Decision: $49 / 100 is a hypothesis. Measure every paid run and reprice / reduce allowance if the target fails.</t>
  </si>
  <si>
    <t xml:space="preserve">Sensitivity holds customers unchanged. No price elasticity or technical acceptance is claimed.</t>
  </si>
  <si>
    <t xml:space="preserve">Actual paid attempts — empty; Unknown is not zero</t>
  </si>
  <si>
    <t xml:space="preserve">Expected paid attempts (independent provider/execution ledger)</t>
  </si>
  <si>
    <t xml:space="preserve">Entered attempts</t>
  </si>
  <si>
    <t xml:space="preserve">Invalid attempts</t>
  </si>
  <si>
    <t xml:space="preserve">Missing attempts</t>
  </si>
  <si>
    <t xml:space="preserve">Actual all-run commercial cost</t>
  </si>
  <si>
    <t xml:space="preserve">Actual status</t>
  </si>
  <si>
    <t xml:space="preserve">Inference cost basis</t>
  </si>
  <si>
    <t xml:space="preserve">Run ID</t>
  </si>
  <si>
    <t xml:space="preserve">Date (UTC)</t>
  </si>
  <si>
    <t xml:space="preserve">Outcome</t>
  </si>
  <si>
    <t xml:space="preserve">Input tokens</t>
  </si>
  <si>
    <t xml:space="preserve">Output tokens</t>
  </si>
  <si>
    <t xml:space="preserve">Commercial total cost USD</t>
  </si>
  <si>
    <t xml:space="preserve">Duration seconds</t>
  </si>
  <si>
    <t xml:space="preserve">Git SHA</t>
  </si>
  <si>
    <t xml:space="preserve">Trace link</t>
  </si>
  <si>
    <t xml:space="preserve">Cost source</t>
  </si>
  <si>
    <t xml:space="preserve">Duplicate ID count</t>
  </si>
  <si>
    <t xml:space="preserve">Entered row</t>
  </si>
  <si>
    <t xml:space="preserve">Invalid row</t>
  </si>
  <si>
    <t xml:space="preserve">Include every paid attempt, including failed/cancelled runs. Cost includes all inference calls, browser and storage, before credits.</t>
  </si>
  <si>
    <t xml:space="preserve">Verified commercial cost source is mandatory, including explicit zero. Token counts are not dollar cost evidence.</t>
  </si>
  <si>
    <t xml:space="preserve">Entirely missing attempts require an independent expected count. No completeness claim is made while B3 is empty.</t>
  </si>
  <si>
    <t xml:space="preserve">Blank optional metadata is retained for evidence review; cost validation requires ID, date, outcome, commercial cost and source.</t>
  </si>
  <si>
    <t xml:space="preserve">Base forecast — all assumptions, USD</t>
  </si>
  <si>
    <t xml:space="preserve">Downside forecast — all assumptions, USD</t>
  </si>
  <si>
    <t xml:space="preserve">Credits are separate from commercial cost and are not forecast financing</t>
  </si>
  <si>
    <t xml:space="preserve">Credit ID</t>
  </si>
  <si>
    <t xml:space="preserve">Date</t>
  </si>
  <si>
    <t xml:space="preserve">Amount USD</t>
  </si>
  <si>
    <t xml:space="preserve">Provider</t>
  </si>
  <si>
    <t xml:space="preserve">Evidence</t>
  </si>
  <si>
    <t xml:space="preserve">BugReplay: editable assumption-led model, rebuilt alongside the saved cfo.ai workspace model.</t>
  </si>
  <si>
    <t xml:space="preserve">Prototype: vague browser complaint to independently verified Playwright reproduction; initially cart preservation in one controlled shop.</t>
  </si>
  <si>
    <t xml:space="preserve">Horizon: November 2026–October 2027; USD; zero opening teams; $10,000 assumed opening cash.</t>
  </si>
  <si>
    <t xml:space="preserve">Churn applies to opening teams. New teams arrive at start of month. Bill closing teams for full month. Fractional teams are expected-value forecasts.</t>
  </si>
  <si>
    <t xml:space="preserve">Revenue is collected same month. Costs include failed/cancelled investigations. Payment fees are 3% revenue + $0.30 per billed team.</t>
  </si>
  <si>
    <t xml:space="preserve">Contribution excludes hosting; gross profit deducts hosting. Cash deducts founder/contractor, marketing and other cash operating spend.</t>
  </si>
  <si>
    <t xml:space="preserve">No tax, debt, capex or working-capital timing is modeled. No borrowing assumed. First negative closing cash flags financing need.</t>
  </si>
  <si>
    <t xml:space="preserve">Actual register and expected paid-attempt count remain empty. Actual cost is Unknown; explicit zero requires verified evidence. Credits never net against commercial cost.</t>
  </si>
  <si>
    <t xml:space="preserve">Planning is selected. Measured mode only uses a complete, validated all-in cost ledger; missing costs leave cash Unknown, never zero.</t>
  </si>
  <si>
    <t xml:space="preserve">Case selector: Assumptions!B3. Cost-basis selector: Assumptions!B4. Blue text marks editable inputs.</t>
  </si>
  <si>
    <t xml:space="preserve">This workbook is an editable snapshot, not a live connection back to cfo.ai. New workspace edits require a new export.</t>
  </si>
  <si>
    <t xml:space="preserve">Source inputs: https://github.com/prokiller67-crypto/bugreplay/tree/8f378b2c08add81e3901df6475b43d239fe0b89c/docs/evidence/finance</t>
  </si>
  <si>
    <t xml:space="preserve">Native monthly results reconcile to all 12 published teams, runs, revenue, gross-profit and cash values in both cases. No adjustment is used.</t>
  </si>
  <si>
    <t xml:space="preserve">This does not establish technical acceptance, submission completion or commercial validation.</t>
  </si>
  <si>
    <t xml:space="preserve">Native comparison and this workbook reproduce all 12 original published monthly results; no adjustment is used. The workbook preserves Planning selection.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</si>
</sst>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[RED]\(#,##0.00\)"/>
    <numFmt numFmtId="166" formatCode="0.0%"/>
    <numFmt numFmtId="167" formatCode="mmm\ yyyy"/>
    <numFmt numFmtId="168" formatCode="\$0.0000"/>
    <numFmt numFmtId="169" formatCode="yyyy\-mm\-dd\ hh:mm:ss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24D"/>
      <name val="Calibri"/>
      <family val="0"/>
      <charset val="1"/>
    </font>
    <font>
      <sz val="11"/>
      <color rgb="FF17324D"/>
      <name val="Calibri"/>
      <family val="0"/>
      <charset val="1"/>
    </font>
    <font>
      <b val="true"/>
      <sz val="11"/>
      <color rgb="FF1565C0"/>
      <name val="Cambria"/>
      <family val="0"/>
      <charset val="1"/>
    </font>
    <font>
      <sz val="11"/>
      <color rgb="FF1565C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F3FA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17324D"/>
        </patternFill>
      </fill>
    </dxf>
  </dxfs>
  <colors>
    <indexedColors>
      <rgbColor rgb="FF000000"/>
      <rgbColor rgb="FFEAF3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Selected closing cash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cash'!$B$4:$M$4</c:f>
              <c:strCache>
                <c:ptCount val="12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  <c:pt idx="6">
                  <c:v>May 2027</c:v>
                </c:pt>
                <c:pt idx="7">
                  <c:v>Jun 2027</c:v>
                </c:pt>
                <c:pt idx="8">
                  <c:v>Jul 2027</c:v>
                </c:pt>
                <c:pt idx="9">
                  <c:v>Aug 2027</c:v>
                </c:pt>
                <c:pt idx="10">
                  <c:v>Sep 2027</c:v>
                </c:pt>
                <c:pt idx="11">
                  <c:v>Oct 2027</c:v>
                </c:pt>
              </c:strCache>
            </c:strRef>
          </c:cat>
          <c:val>
            <c:numRef>
              <c:f>'Monthly cash'!$B$26:$M$26</c:f>
              <c:numCache>
                <c:formatCode>General</c:formatCode>
                <c:ptCount val="12"/>
                <c:pt idx="0">
                  <c:v>8812.15</c:v>
                </c:pt>
                <c:pt idx="1">
                  <c:v>7872.5155</c:v>
                </c:pt>
                <c:pt idx="2">
                  <c:v>7258.510035</c:v>
                </c:pt>
                <c:pt idx="3">
                  <c:v>7045.22473395</c:v>
                </c:pt>
                <c:pt idx="4">
                  <c:v>7305.4979919315</c:v>
                </c:pt>
                <c:pt idx="5">
                  <c:v>8152.41305217355</c:v>
                </c:pt>
                <c:pt idx="6">
                  <c:v>9695.66066060835</c:v>
                </c:pt>
                <c:pt idx="7">
                  <c:v>11999.2108407901</c:v>
                </c:pt>
                <c:pt idx="8">
                  <c:v>15125.1145155664</c:v>
                </c:pt>
                <c:pt idx="9">
                  <c:v>19175.9910800994</c:v>
                </c:pt>
                <c:pt idx="10">
                  <c:v>24251.3813476964</c:v>
                </c:pt>
                <c:pt idx="11">
                  <c:v>30405.4099072655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016985"/>
        <c:axId val="12532281"/>
      </c:lineChart>
      <c:catAx>
        <c:axId val="37016985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32281"/>
        <c:crosses val="autoZero"/>
        <c:auto val="1"/>
        <c:lblAlgn val="ctr"/>
        <c:lblOffset val="100"/>
        <c:noMultiLvlLbl val="0"/>
      </c:catAx>
      <c:valAx>
        <c:axId val="12532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[RED]\(#,##0.0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169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0</xdr:rowOff>
    </xdr:from>
    <xdr:to>
      <xdr:col>4</xdr:col>
      <xdr:colOff>282600</xdr:colOff>
      <xdr:row>51</xdr:row>
      <xdr:rowOff>170280</xdr:rowOff>
    </xdr:to>
    <xdr:graphicFrame>
      <xdr:nvGraphicFramePr>
        <xdr:cNvPr id="0" name="Chart 1"/>
        <xdr:cNvGraphicFramePr/>
      </xdr:nvGraphicFramePr>
      <xdr:xfrm>
        <a:off x="0" y="6448320"/>
        <a:ext cx="86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3"/>
    <col collapsed="false" customWidth="true" hidden="false" outlineLevel="0" max="13" min="2" style="1" width="17"/>
  </cols>
  <sheetData>
    <row r="1" customFormat="false" ht="27.75" hidden="false" customHeight="true" outlineLevel="0" collapsed="false">
      <c r="A1" s="2" t="s">
        <v>0</v>
      </c>
      <c r="B1" s="3"/>
      <c r="C1" s="3"/>
    </row>
    <row r="2" customFormat="false" ht="15" hidden="false" customHeight="true" outlineLevel="0" collapsed="false">
      <c r="A2" s="3"/>
      <c r="B2" s="3"/>
      <c r="C2" s="3"/>
    </row>
    <row r="3" customFormat="false" ht="15" hidden="false" customHeight="true" outlineLevel="0" collapsed="false">
      <c r="A3" s="3" t="s">
        <v>1</v>
      </c>
      <c r="B3" s="4" t="str">
        <f aca="false">Assumptions!B3</f>
        <v>Base</v>
      </c>
      <c r="C3" s="3"/>
    </row>
    <row r="4" customFormat="false" ht="15" hidden="false" customHeight="true" outlineLevel="0" collapsed="false">
      <c r="A4" s="3" t="s">
        <v>2</v>
      </c>
      <c r="B4" s="4" t="str">
        <f aca="false">Assumptions!B4</f>
        <v>Planning</v>
      </c>
      <c r="C4" s="3"/>
    </row>
    <row r="5" customFormat="false" ht="15" hidden="false" customHeight="true" outlineLevel="0" collapsed="false">
      <c r="A5" s="3"/>
      <c r="B5" s="3"/>
      <c r="C5" s="3"/>
    </row>
    <row r="6" customFormat="false" ht="15" hidden="false" customHeight="true" outlineLevel="0" collapsed="false">
      <c r="A6" s="3" t="s">
        <v>3</v>
      </c>
      <c r="B6" s="3" t="s">
        <v>4</v>
      </c>
      <c r="C6" s="3" t="s">
        <v>5</v>
      </c>
    </row>
    <row r="7" customFormat="false" ht="15" hidden="false" customHeight="true" outlineLevel="0" collapsed="false">
      <c r="A7" s="3" t="s">
        <v>6</v>
      </c>
      <c r="B7" s="4" t="n">
        <f aca="false">IF(COUNT('Base forecast'!B10:M10)=12,SUM('Base forecast'!B10:M10),"Unknown")</f>
        <v>42966.41728626</v>
      </c>
      <c r="C7" s="4" t="n">
        <f aca="false">IF(COUNT('Downside forecast'!B10:M10)=12,SUM('Downside forecast'!B10:M10),"Unknown")</f>
        <v>10901.8953009054</v>
      </c>
    </row>
    <row r="8" customFormat="false" ht="15" hidden="false" customHeight="true" outlineLevel="0" collapsed="false">
      <c r="A8" s="3" t="s">
        <v>7</v>
      </c>
      <c r="B8" s="4" t="n">
        <f aca="false">IF(COUNT('Base forecast'!B15:M15)=12,SUM('Base forecast'!B15:M15),"Unknown")</f>
        <v>37205.4099072655</v>
      </c>
      <c r="C8" s="4" t="n">
        <f aca="false">IF(COUNT('Downside forecast'!B15:M15)=12,SUM('Downside forecast'!B15:M15),"Unknown")</f>
        <v>4167.19385685628</v>
      </c>
    </row>
    <row r="9" customFormat="false" ht="15" hidden="false" customHeight="true" outlineLevel="0" collapsed="false">
      <c r="A9" s="3" t="s">
        <v>8</v>
      </c>
      <c r="B9" s="4" t="n">
        <f aca="false">IF(COUNT('Base forecast'!B18:M18)=12,SUM('Base forecast'!B18:M18),"Unknown")</f>
        <v>36605.4099072655</v>
      </c>
      <c r="C9" s="4" t="n">
        <f aca="false">IF(COUNT('Downside forecast'!B18:M18)=12,SUM('Downside forecast'!B18:M18),"Unknown")</f>
        <v>2967.19385685627</v>
      </c>
    </row>
    <row r="10" customFormat="false" ht="15" hidden="false" customHeight="true" outlineLevel="0" collapsed="false">
      <c r="A10" s="3" t="s">
        <v>9</v>
      </c>
      <c r="B10" s="5" t="n">
        <f aca="false">IFERROR(B9/B7,"Unknown")</f>
        <v>0.851953972875728</v>
      </c>
      <c r="C10" s="5" t="n">
        <f aca="false">IFERROR(C9/C7,"Unknown")</f>
        <v>0.272172294354163</v>
      </c>
    </row>
    <row r="11" customFormat="false" ht="15" hidden="false" customHeight="true" outlineLevel="0" collapsed="false">
      <c r="A11" s="3" t="s">
        <v>10</v>
      </c>
      <c r="B11" s="4" t="n">
        <f aca="false">'Base forecast'!M26</f>
        <v>30405.4099072655</v>
      </c>
      <c r="C11" s="4" t="n">
        <f aca="false">'Downside forecast'!M26</f>
        <v>-17032.8061431437</v>
      </c>
    </row>
    <row r="12" customFormat="false" ht="15" hidden="false" customHeight="true" outlineLevel="0" collapsed="false">
      <c r="A12" s="3" t="s">
        <v>11</v>
      </c>
      <c r="B12" s="4" t="n">
        <f aca="false">'Base forecast'!M8</f>
        <v>178.035082714332</v>
      </c>
      <c r="C12" s="4" t="n">
        <f aca="false">'Downside forecast'!M8</f>
        <v>39.348899199813</v>
      </c>
    </row>
    <row r="13" customFormat="false" ht="15" hidden="false" customHeight="true" outlineLevel="0" collapsed="false">
      <c r="A13" s="3" t="s">
        <v>12</v>
      </c>
      <c r="B13" s="6" t="str">
        <f aca="false">IF(COUNT('Base forecast'!B26:M26)&lt;&gt;12,"Unknown",IF(SUM('Base forecast'!B27:M27)=0,"None in horizon",INDEX('Base forecast'!B4:M4,1,MATCH(1,'Base forecast'!B27:M27,0))))</f>
        <v>None in horizon</v>
      </c>
      <c r="C13" s="6" t="n">
        <f aca="false">IF(COUNT('Downside forecast'!B26:M26)&lt;&gt;12,"Unknown",IF(SUM('Downside forecast'!B27:M27)=0,"None in horizon",INDEX('Downside forecast'!B4:M4,1,MATCH(1,'Downside forecast'!B27:M27,0))))</f>
        <v>46447</v>
      </c>
    </row>
    <row r="14" customFormat="false" ht="15" hidden="false" customHeight="true" outlineLevel="0" collapsed="false">
      <c r="A14" s="3"/>
      <c r="B14" s="3"/>
      <c r="C14" s="3"/>
    </row>
    <row r="15" customFormat="false" ht="15" hidden="false" customHeight="true" outlineLevel="0" collapsed="false">
      <c r="A15" s="3"/>
      <c r="B15" s="3"/>
      <c r="C15" s="3"/>
    </row>
    <row r="16" customFormat="false" ht="36" hidden="false" customHeight="true" outlineLevel="0" collapsed="false">
      <c r="A16" s="7" t="s">
        <v>13</v>
      </c>
      <c r="B16" s="7"/>
      <c r="C16" s="7"/>
      <c r="D16" s="7"/>
      <c r="E16" s="7"/>
      <c r="F16" s="7"/>
    </row>
    <row r="17" customFormat="false" ht="36" hidden="false" customHeight="true" outlineLevel="0" collapsed="false">
      <c r="A17" s="7" t="s">
        <v>14</v>
      </c>
      <c r="B17" s="7"/>
      <c r="C17" s="7"/>
      <c r="D17" s="7"/>
      <c r="E17" s="7"/>
      <c r="F17" s="7"/>
    </row>
  </sheetData>
  <mergeCells count="2"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3"/>
    <col collapsed="false" customWidth="true" hidden="false" outlineLevel="0" max="13" min="2" style="1" width="17"/>
  </cols>
  <sheetData>
    <row r="1" customFormat="false" ht="27.75" hidden="false" customHeight="true" outlineLevel="0" collapsed="false">
      <c r="A1" s="2" t="s">
        <v>15</v>
      </c>
      <c r="B1" s="3"/>
      <c r="C1" s="3"/>
      <c r="D1" s="3"/>
    </row>
    <row r="2" customFormat="false" ht="15" hidden="false" customHeight="true" outlineLevel="0" collapsed="false">
      <c r="A2" s="3"/>
      <c r="B2" s="3"/>
      <c r="C2" s="3"/>
      <c r="D2" s="3"/>
    </row>
    <row r="3" customFormat="false" ht="15" hidden="false" customHeight="true" outlineLevel="0" collapsed="false">
      <c r="A3" s="3" t="s">
        <v>16</v>
      </c>
      <c r="B3" s="8" t="s">
        <v>4</v>
      </c>
      <c r="C3" s="3"/>
      <c r="D3" s="3"/>
    </row>
    <row r="4" customFormat="false" ht="15" hidden="false" customHeight="true" outlineLevel="0" collapsed="false">
      <c r="A4" s="3" t="s">
        <v>2</v>
      </c>
      <c r="B4" s="8" t="s">
        <v>17</v>
      </c>
      <c r="C4" s="3"/>
      <c r="D4" s="3"/>
    </row>
    <row r="5" customFormat="false" ht="15" hidden="false" customHeight="true" outlineLevel="0" collapsed="false">
      <c r="A5" s="3"/>
      <c r="B5" s="3"/>
      <c r="C5" s="3"/>
      <c r="D5" s="3"/>
    </row>
    <row r="6" customFormat="false" ht="15" hidden="false" customHeight="true" outlineLevel="0" collapsed="false">
      <c r="A6" s="3" t="s">
        <v>18</v>
      </c>
      <c r="B6" s="3" t="s">
        <v>4</v>
      </c>
      <c r="C6" s="3" t="s">
        <v>5</v>
      </c>
      <c r="D6" s="3" t="s">
        <v>19</v>
      </c>
    </row>
    <row r="7" customFormat="false" ht="15" hidden="false" customHeight="true" outlineLevel="0" collapsed="false">
      <c r="A7" s="3" t="s">
        <v>20</v>
      </c>
      <c r="B7" s="9" t="n">
        <v>10000</v>
      </c>
      <c r="C7" s="9" t="n">
        <v>10000</v>
      </c>
      <c r="D7" s="3" t="s">
        <v>21</v>
      </c>
    </row>
    <row r="8" customFormat="false" ht="15" hidden="false" customHeight="true" outlineLevel="0" collapsed="false">
      <c r="A8" s="3" t="s">
        <v>22</v>
      </c>
      <c r="B8" s="9" t="n">
        <v>0</v>
      </c>
      <c r="C8" s="9" t="n">
        <v>0</v>
      </c>
      <c r="D8" s="3" t="s">
        <v>23</v>
      </c>
    </row>
    <row r="9" customFormat="false" ht="15" hidden="false" customHeight="true" outlineLevel="0" collapsed="false">
      <c r="A9" s="3" t="s">
        <v>24</v>
      </c>
      <c r="B9" s="9" t="n">
        <v>49</v>
      </c>
      <c r="C9" s="9" t="n">
        <v>49</v>
      </c>
      <c r="D9" s="3" t="s">
        <v>25</v>
      </c>
    </row>
    <row r="10" customFormat="false" ht="15" hidden="false" customHeight="true" outlineLevel="0" collapsed="false">
      <c r="A10" s="3" t="s">
        <v>26</v>
      </c>
      <c r="B10" s="9" t="n">
        <v>100</v>
      </c>
      <c r="C10" s="9" t="n">
        <v>100</v>
      </c>
      <c r="D10" s="3" t="s">
        <v>27</v>
      </c>
    </row>
    <row r="11" customFormat="false" ht="15" hidden="false" customHeight="true" outlineLevel="0" collapsed="false">
      <c r="A11" s="3" t="s">
        <v>28</v>
      </c>
      <c r="B11" s="10" t="n">
        <v>0.03</v>
      </c>
      <c r="C11" s="10" t="n">
        <v>0.08</v>
      </c>
      <c r="D11" s="3" t="s">
        <v>29</v>
      </c>
    </row>
    <row r="12" customFormat="false" ht="15" hidden="false" customHeight="true" outlineLevel="0" collapsed="false">
      <c r="A12" s="3" t="s">
        <v>30</v>
      </c>
      <c r="B12" s="10" t="n">
        <v>0.6</v>
      </c>
      <c r="C12" s="10" t="n">
        <v>1</v>
      </c>
      <c r="D12" s="3" t="s">
        <v>31</v>
      </c>
    </row>
    <row r="13" customFormat="false" ht="15" hidden="false" customHeight="true" outlineLevel="0" collapsed="false">
      <c r="A13" s="3" t="s">
        <v>32</v>
      </c>
      <c r="B13" s="11" t="n">
        <v>0.06</v>
      </c>
      <c r="C13" s="11" t="n">
        <v>0.25</v>
      </c>
      <c r="D13" s="3" t="s">
        <v>33</v>
      </c>
    </row>
    <row r="14" customFormat="false" ht="15" hidden="false" customHeight="true" outlineLevel="0" collapsed="false">
      <c r="A14" s="3" t="s">
        <v>34</v>
      </c>
      <c r="B14" s="11" t="n">
        <v>0.015</v>
      </c>
      <c r="C14" s="11" t="n">
        <v>0.025</v>
      </c>
      <c r="D14" s="3" t="s">
        <v>35</v>
      </c>
    </row>
    <row r="15" customFormat="false" ht="15" hidden="false" customHeight="true" outlineLevel="0" collapsed="false">
      <c r="A15" s="3" t="s">
        <v>36</v>
      </c>
      <c r="B15" s="11" t="n">
        <v>0.005</v>
      </c>
      <c r="C15" s="11" t="n">
        <v>0.01</v>
      </c>
      <c r="D15" s="3" t="s">
        <v>35</v>
      </c>
    </row>
    <row r="16" customFormat="false" ht="15" hidden="false" customHeight="true" outlineLevel="0" collapsed="false">
      <c r="A16" s="3" t="s">
        <v>37</v>
      </c>
      <c r="B16" s="10" t="n">
        <v>0.03</v>
      </c>
      <c r="C16" s="10" t="n">
        <v>0.03</v>
      </c>
      <c r="D16" s="3" t="s">
        <v>38</v>
      </c>
    </row>
    <row r="17" customFormat="false" ht="15" hidden="false" customHeight="true" outlineLevel="0" collapsed="false">
      <c r="A17" s="3" t="s">
        <v>39</v>
      </c>
      <c r="B17" s="9" t="n">
        <v>0.3</v>
      </c>
      <c r="C17" s="9" t="n">
        <v>0.3</v>
      </c>
      <c r="D17" s="3" t="s">
        <v>25</v>
      </c>
    </row>
    <row r="18" customFormat="false" ht="15" hidden="false" customHeight="true" outlineLevel="0" collapsed="false">
      <c r="A18" s="3" t="s">
        <v>40</v>
      </c>
      <c r="B18" s="9" t="n">
        <v>50</v>
      </c>
      <c r="C18" s="9" t="n">
        <v>100</v>
      </c>
      <c r="D18" s="3" t="s">
        <v>25</v>
      </c>
    </row>
    <row r="19" customFormat="false" ht="15" hidden="false" customHeight="true" outlineLevel="0" collapsed="false">
      <c r="A19" s="3" t="s">
        <v>41</v>
      </c>
      <c r="B19" s="9" t="n">
        <v>1000</v>
      </c>
      <c r="C19" s="9" t="n">
        <v>2000</v>
      </c>
      <c r="D19" s="3" t="s">
        <v>25</v>
      </c>
    </row>
    <row r="20" customFormat="false" ht="15" hidden="false" customHeight="true" outlineLevel="0" collapsed="false">
      <c r="A20" s="3" t="s">
        <v>42</v>
      </c>
      <c r="B20" s="9" t="n">
        <v>200</v>
      </c>
      <c r="C20" s="9" t="n">
        <v>300</v>
      </c>
      <c r="D20" s="3" t="s">
        <v>25</v>
      </c>
    </row>
    <row r="21" customFormat="false" ht="15" hidden="false" customHeight="true" outlineLevel="0" collapsed="false">
      <c r="A21" s="3" t="s">
        <v>43</v>
      </c>
      <c r="B21" s="9" t="n">
        <v>150</v>
      </c>
      <c r="C21" s="9" t="n">
        <v>200</v>
      </c>
      <c r="D21" s="3" t="s">
        <v>25</v>
      </c>
    </row>
    <row r="22" customFormat="false" ht="15" hidden="false" customHeight="true" outlineLevel="0" collapsed="false">
      <c r="A22" s="3" t="s">
        <v>44</v>
      </c>
      <c r="B22" s="10" t="n">
        <v>0.7</v>
      </c>
      <c r="C22" s="10" t="n">
        <v>0.7</v>
      </c>
      <c r="D22" s="3" t="s">
        <v>45</v>
      </c>
    </row>
    <row r="23" customFormat="false" ht="15" hidden="false" customHeight="true" outlineLevel="0" collapsed="false">
      <c r="A23" s="3"/>
      <c r="B23" s="3"/>
      <c r="C23" s="3"/>
      <c r="D23" s="3"/>
    </row>
    <row r="24" customFormat="false" ht="15" hidden="false" customHeight="true" outlineLevel="0" collapsed="false">
      <c r="A24" s="3" t="s">
        <v>46</v>
      </c>
      <c r="B24" s="3"/>
      <c r="C24" s="3"/>
      <c r="D24" s="3"/>
    </row>
    <row r="25" customFormat="false" ht="15" hidden="false" customHeight="true" outlineLevel="0" collapsed="false">
      <c r="A25" s="3" t="s">
        <v>47</v>
      </c>
      <c r="B25" s="3" t="s">
        <v>4</v>
      </c>
      <c r="C25" s="3" t="s">
        <v>5</v>
      </c>
      <c r="D25" s="3"/>
    </row>
    <row r="26" customFormat="false" ht="15" hidden="false" customHeight="true" outlineLevel="0" collapsed="false">
      <c r="A26" s="6" t="n">
        <v>46327</v>
      </c>
      <c r="B26" s="12" t="n">
        <v>5</v>
      </c>
      <c r="C26" s="12" t="n">
        <v>2</v>
      </c>
      <c r="D26" s="3"/>
    </row>
    <row r="27" customFormat="false" ht="15" hidden="false" customHeight="true" outlineLevel="0" collapsed="false">
      <c r="A27" s="6" t="n">
        <v>46357</v>
      </c>
      <c r="B27" s="12" t="n">
        <v>6</v>
      </c>
      <c r="C27" s="12" t="n">
        <v>2</v>
      </c>
      <c r="D27" s="3"/>
    </row>
    <row r="28" customFormat="false" ht="15" hidden="false" customHeight="true" outlineLevel="0" collapsed="false">
      <c r="A28" s="6" t="n">
        <v>46388</v>
      </c>
      <c r="B28" s="12" t="n">
        <v>8</v>
      </c>
      <c r="C28" s="12" t="n">
        <v>3</v>
      </c>
      <c r="D28" s="3"/>
    </row>
    <row r="29" customFormat="false" ht="15" hidden="false" customHeight="true" outlineLevel="0" collapsed="false">
      <c r="A29" s="6" t="n">
        <v>46419</v>
      </c>
      <c r="B29" s="12" t="n">
        <v>10</v>
      </c>
      <c r="C29" s="12" t="n">
        <v>3</v>
      </c>
      <c r="D29" s="3"/>
    </row>
    <row r="30" customFormat="false" ht="15" hidden="false" customHeight="true" outlineLevel="0" collapsed="false">
      <c r="A30" s="6" t="n">
        <v>46447</v>
      </c>
      <c r="B30" s="12" t="n">
        <v>12</v>
      </c>
      <c r="C30" s="12" t="n">
        <v>4</v>
      </c>
      <c r="D30" s="3"/>
    </row>
    <row r="31" customFormat="false" ht="15" hidden="false" customHeight="true" outlineLevel="0" collapsed="false">
      <c r="A31" s="6" t="n">
        <v>46478</v>
      </c>
      <c r="B31" s="12" t="n">
        <v>15</v>
      </c>
      <c r="C31" s="12" t="n">
        <v>4</v>
      </c>
      <c r="D31" s="3"/>
    </row>
    <row r="32" customFormat="false" ht="15" hidden="false" customHeight="true" outlineLevel="0" collapsed="false">
      <c r="A32" s="6" t="n">
        <v>46508</v>
      </c>
      <c r="B32" s="12" t="n">
        <v>18</v>
      </c>
      <c r="C32" s="12" t="n">
        <v>5</v>
      </c>
      <c r="D32" s="3"/>
    </row>
    <row r="33" customFormat="false" ht="15" hidden="false" customHeight="true" outlineLevel="0" collapsed="false">
      <c r="A33" s="6" t="n">
        <v>46539</v>
      </c>
      <c r="B33" s="12" t="n">
        <v>20</v>
      </c>
      <c r="C33" s="12" t="n">
        <v>5</v>
      </c>
      <c r="D33" s="3"/>
    </row>
    <row r="34" customFormat="false" ht="15" hidden="false" customHeight="true" outlineLevel="0" collapsed="false">
      <c r="A34" s="6" t="n">
        <v>46569</v>
      </c>
      <c r="B34" s="12" t="n">
        <v>22</v>
      </c>
      <c r="C34" s="12" t="n">
        <v>6</v>
      </c>
      <c r="D34" s="3"/>
    </row>
    <row r="35" customFormat="false" ht="15" hidden="false" customHeight="true" outlineLevel="0" collapsed="false">
      <c r="A35" s="6" t="n">
        <v>46600</v>
      </c>
      <c r="B35" s="12" t="n">
        <v>25</v>
      </c>
      <c r="C35" s="12" t="n">
        <v>6</v>
      </c>
      <c r="D35" s="3"/>
    </row>
    <row r="36" customFormat="false" ht="15" hidden="false" customHeight="true" outlineLevel="0" collapsed="false">
      <c r="A36" s="6" t="n">
        <v>46631</v>
      </c>
      <c r="B36" s="12" t="n">
        <v>28</v>
      </c>
      <c r="C36" s="12" t="n">
        <v>7</v>
      </c>
      <c r="D36" s="3"/>
    </row>
    <row r="37" customFormat="false" ht="15" hidden="false" customHeight="true" outlineLevel="0" collapsed="false">
      <c r="A37" s="6" t="n">
        <v>46661</v>
      </c>
      <c r="B37" s="12" t="n">
        <v>30</v>
      </c>
      <c r="C37" s="12" t="n">
        <v>7</v>
      </c>
      <c r="D37" s="3"/>
    </row>
    <row r="38" customFormat="false" ht="15" hidden="false" customHeight="true" outlineLevel="0" collapsed="false">
      <c r="A38" s="3"/>
      <c r="B38" s="3"/>
      <c r="C38" s="3"/>
      <c r="D38" s="3"/>
    </row>
    <row r="39" customFormat="false" ht="36" hidden="false" customHeight="true" outlineLevel="0" collapsed="false">
      <c r="A39" s="7" t="s">
        <v>48</v>
      </c>
      <c r="B39" s="7"/>
      <c r="C39" s="7"/>
      <c r="D39" s="7"/>
      <c r="E39" s="7"/>
      <c r="F39" s="7"/>
    </row>
  </sheetData>
  <mergeCells count="1">
    <mergeCell ref="A39:F39"/>
  </mergeCells>
  <dataValidations count="2">
    <dataValidation allowBlank="false" errorStyle="stop" operator="between" showDropDown="false" showErrorMessage="false" showInputMessage="false" sqref="B3" type="list">
      <formula1>"Base,Downside"</formula1>
      <formula2>0</formula2>
    </dataValidation>
    <dataValidation allowBlank="false" errorStyle="stop" operator="between" showDropDown="false" showErrorMessage="false" showInputMessage="false" sqref="B4" type="list">
      <formula1>"Planning,Measured"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3"/>
    <col collapsed="false" customWidth="true" hidden="false" outlineLevel="0" max="13" min="2" style="1" width="17"/>
  </cols>
  <sheetData>
    <row r="1" customFormat="false" ht="27.75" hidden="false" customHeight="true" outlineLevel="0" collapsed="false">
      <c r="A1" s="2" t="s">
        <v>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true" outlineLevel="0" collapsed="false">
      <c r="A2" s="4" t="str">
        <f aca="false">Assumptions!B3</f>
        <v>Base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true" outlineLevel="0" collapsed="false">
      <c r="A4" s="3"/>
      <c r="B4" s="6" t="n">
        <v>46327</v>
      </c>
      <c r="C4" s="6" t="n">
        <v>46357</v>
      </c>
      <c r="D4" s="6" t="n">
        <v>46388</v>
      </c>
      <c r="E4" s="6" t="n">
        <v>46419</v>
      </c>
      <c r="F4" s="6" t="n">
        <v>46447</v>
      </c>
      <c r="G4" s="6" t="n">
        <v>46478</v>
      </c>
      <c r="H4" s="6" t="n">
        <v>46508</v>
      </c>
      <c r="I4" s="6" t="n">
        <v>46539</v>
      </c>
      <c r="J4" s="6" t="n">
        <v>46569</v>
      </c>
      <c r="K4" s="6" t="n">
        <v>46600</v>
      </c>
      <c r="L4" s="6" t="n">
        <v>46631</v>
      </c>
      <c r="M4" s="6" t="n">
        <v>46661</v>
      </c>
    </row>
    <row r="5" customFormat="false" ht="15" hidden="false" customHeight="true" outlineLevel="0" collapsed="false">
      <c r="A5" s="3" t="s">
        <v>22</v>
      </c>
      <c r="B5" s="4" t="n">
        <f aca="false">IF(Assumptions!$B$3="Base",'Base forecast'!B5,'Downside forecast'!B5)</f>
        <v>0</v>
      </c>
      <c r="C5" s="4" t="n">
        <f aca="false">IF(Assumptions!$B$3="Base",'Base forecast'!C5,'Downside forecast'!C5)</f>
        <v>5</v>
      </c>
      <c r="D5" s="4" t="n">
        <f aca="false">IF(Assumptions!$B$3="Base",'Base forecast'!D5,'Downside forecast'!D5)</f>
        <v>10.85</v>
      </c>
      <c r="E5" s="4" t="n">
        <f aca="false">IF(Assumptions!$B$3="Base",'Base forecast'!E5,'Downside forecast'!E5)</f>
        <v>18.5245</v>
      </c>
      <c r="F5" s="4" t="n">
        <f aca="false">IF(Assumptions!$B$3="Base",'Base forecast'!F5,'Downside forecast'!F5)</f>
        <v>27.968765</v>
      </c>
      <c r="G5" s="4" t="n">
        <f aca="false">IF(Assumptions!$B$3="Base",'Base forecast'!G5,'Downside forecast'!G5)</f>
        <v>39.12970205</v>
      </c>
      <c r="H5" s="4" t="n">
        <f aca="false">IF(Assumptions!$B$3="Base",'Base forecast'!H5,'Downside forecast'!H5)</f>
        <v>52.9558109885</v>
      </c>
      <c r="I5" s="4" t="n">
        <f aca="false">IF(Assumptions!$B$3="Base",'Base forecast'!I5,'Downside forecast'!I5)</f>
        <v>69.367136658845</v>
      </c>
      <c r="J5" s="4" t="n">
        <f aca="false">IF(Assumptions!$B$3="Base",'Base forecast'!J5,'Downside forecast'!J5)</f>
        <v>87.2861225590796</v>
      </c>
      <c r="K5" s="4" t="n">
        <f aca="false">IF(Assumptions!$B$3="Base",'Base forecast'!K5,'Downside forecast'!K5)</f>
        <v>106.667538882307</v>
      </c>
      <c r="L5" s="4" t="n">
        <f aca="false">IF(Assumptions!$B$3="Base",'Base forecast'!L5,'Downside forecast'!L5)</f>
        <v>128.467512715838</v>
      </c>
      <c r="M5" s="4" t="n">
        <f aca="false">IF(Assumptions!$B$3="Base",'Base forecast'!M5,'Downside forecast'!M5)</f>
        <v>152.613487334363</v>
      </c>
    </row>
    <row r="6" customFormat="false" ht="15" hidden="false" customHeight="true" outlineLevel="0" collapsed="false">
      <c r="A6" s="3" t="s">
        <v>50</v>
      </c>
      <c r="B6" s="4" t="n">
        <f aca="false">IF(Assumptions!$B$3="Base",'Base forecast'!B6,'Downside forecast'!B6)</f>
        <v>5</v>
      </c>
      <c r="C6" s="4" t="n">
        <f aca="false">IF(Assumptions!$B$3="Base",'Base forecast'!C6,'Downside forecast'!C6)</f>
        <v>6</v>
      </c>
      <c r="D6" s="4" t="n">
        <f aca="false">IF(Assumptions!$B$3="Base",'Base forecast'!D6,'Downside forecast'!D6)</f>
        <v>8</v>
      </c>
      <c r="E6" s="4" t="n">
        <f aca="false">IF(Assumptions!$B$3="Base",'Base forecast'!E6,'Downside forecast'!E6)</f>
        <v>10</v>
      </c>
      <c r="F6" s="4" t="n">
        <f aca="false">IF(Assumptions!$B$3="Base",'Base forecast'!F6,'Downside forecast'!F6)</f>
        <v>12</v>
      </c>
      <c r="G6" s="4" t="n">
        <f aca="false">IF(Assumptions!$B$3="Base",'Base forecast'!G6,'Downside forecast'!G6)</f>
        <v>15</v>
      </c>
      <c r="H6" s="4" t="n">
        <f aca="false">IF(Assumptions!$B$3="Base",'Base forecast'!H6,'Downside forecast'!H6)</f>
        <v>18</v>
      </c>
      <c r="I6" s="4" t="n">
        <f aca="false">IF(Assumptions!$B$3="Base",'Base forecast'!I6,'Downside forecast'!I6)</f>
        <v>20</v>
      </c>
      <c r="J6" s="4" t="n">
        <f aca="false">IF(Assumptions!$B$3="Base",'Base forecast'!J6,'Downside forecast'!J6)</f>
        <v>22</v>
      </c>
      <c r="K6" s="4" t="n">
        <f aca="false">IF(Assumptions!$B$3="Base",'Base forecast'!K6,'Downside forecast'!K6)</f>
        <v>25</v>
      </c>
      <c r="L6" s="4" t="n">
        <f aca="false">IF(Assumptions!$B$3="Base",'Base forecast'!L6,'Downside forecast'!L6)</f>
        <v>28</v>
      </c>
      <c r="M6" s="4" t="n">
        <f aca="false">IF(Assumptions!$B$3="Base",'Base forecast'!M6,'Downside forecast'!M6)</f>
        <v>30</v>
      </c>
    </row>
    <row r="7" customFormat="false" ht="15" hidden="false" customHeight="true" outlineLevel="0" collapsed="false">
      <c r="A7" s="3" t="s">
        <v>51</v>
      </c>
      <c r="B7" s="4" t="n">
        <f aca="false">IF(Assumptions!$B$3="Base",'Base forecast'!B7,'Downside forecast'!B7)</f>
        <v>0</v>
      </c>
      <c r="C7" s="4" t="n">
        <f aca="false">IF(Assumptions!$B$3="Base",'Base forecast'!C7,'Downside forecast'!C7)</f>
        <v>0.15</v>
      </c>
      <c r="D7" s="4" t="n">
        <f aca="false">IF(Assumptions!$B$3="Base",'Base forecast'!D7,'Downside forecast'!D7)</f>
        <v>0.3255</v>
      </c>
      <c r="E7" s="4" t="n">
        <f aca="false">IF(Assumptions!$B$3="Base",'Base forecast'!E7,'Downside forecast'!E7)</f>
        <v>0.555735</v>
      </c>
      <c r="F7" s="4" t="n">
        <f aca="false">IF(Assumptions!$B$3="Base",'Base forecast'!F7,'Downside forecast'!F7)</f>
        <v>0.83906295</v>
      </c>
      <c r="G7" s="4" t="n">
        <f aca="false">IF(Assumptions!$B$3="Base",'Base forecast'!G7,'Downside forecast'!G7)</f>
        <v>1.1738910615</v>
      </c>
      <c r="H7" s="4" t="n">
        <f aca="false">IF(Assumptions!$B$3="Base",'Base forecast'!H7,'Downside forecast'!H7)</f>
        <v>1.588674329655</v>
      </c>
      <c r="I7" s="4" t="n">
        <f aca="false">IF(Assumptions!$B$3="Base",'Base forecast'!I7,'Downside forecast'!I7)</f>
        <v>2.08101409976535</v>
      </c>
      <c r="J7" s="4" t="n">
        <f aca="false">IF(Assumptions!$B$3="Base",'Base forecast'!J7,'Downside forecast'!J7)</f>
        <v>2.61858367677239</v>
      </c>
      <c r="K7" s="4" t="n">
        <f aca="false">IF(Assumptions!$B$3="Base",'Base forecast'!K7,'Downside forecast'!K7)</f>
        <v>3.20002616646922</v>
      </c>
      <c r="L7" s="4" t="n">
        <f aca="false">IF(Assumptions!$B$3="Base",'Base forecast'!L7,'Downside forecast'!L7)</f>
        <v>3.85402538147514</v>
      </c>
      <c r="M7" s="4" t="n">
        <f aca="false">IF(Assumptions!$B$3="Base",'Base forecast'!M7,'Downside forecast'!M7)</f>
        <v>4.57840462003089</v>
      </c>
    </row>
    <row r="8" customFormat="false" ht="15" hidden="false" customHeight="true" outlineLevel="0" collapsed="false">
      <c r="A8" s="3" t="s">
        <v>11</v>
      </c>
      <c r="B8" s="4" t="n">
        <f aca="false">IF(Assumptions!$B$3="Base",'Base forecast'!B8,'Downside forecast'!B8)</f>
        <v>5</v>
      </c>
      <c r="C8" s="4" t="n">
        <f aca="false">IF(Assumptions!$B$3="Base",'Base forecast'!C8,'Downside forecast'!C8)</f>
        <v>10.85</v>
      </c>
      <c r="D8" s="4" t="n">
        <f aca="false">IF(Assumptions!$B$3="Base",'Base forecast'!D8,'Downside forecast'!D8)</f>
        <v>18.5245</v>
      </c>
      <c r="E8" s="4" t="n">
        <f aca="false">IF(Assumptions!$B$3="Base",'Base forecast'!E8,'Downside forecast'!E8)</f>
        <v>27.968765</v>
      </c>
      <c r="F8" s="4" t="n">
        <f aca="false">IF(Assumptions!$B$3="Base",'Base forecast'!F8,'Downside forecast'!F8)</f>
        <v>39.12970205</v>
      </c>
      <c r="G8" s="4" t="n">
        <f aca="false">IF(Assumptions!$B$3="Base",'Base forecast'!G8,'Downside forecast'!G8)</f>
        <v>52.9558109885</v>
      </c>
      <c r="H8" s="4" t="n">
        <f aca="false">IF(Assumptions!$B$3="Base",'Base forecast'!H8,'Downside forecast'!H8)</f>
        <v>69.367136658845</v>
      </c>
      <c r="I8" s="4" t="n">
        <f aca="false">IF(Assumptions!$B$3="Base",'Base forecast'!I8,'Downside forecast'!I8)</f>
        <v>87.2861225590796</v>
      </c>
      <c r="J8" s="4" t="n">
        <f aca="false">IF(Assumptions!$B$3="Base",'Base forecast'!J8,'Downside forecast'!J8)</f>
        <v>106.667538882307</v>
      </c>
      <c r="K8" s="4" t="n">
        <f aca="false">IF(Assumptions!$B$3="Base",'Base forecast'!K8,'Downside forecast'!K8)</f>
        <v>128.467512715838</v>
      </c>
      <c r="L8" s="4" t="n">
        <f aca="false">IF(Assumptions!$B$3="Base",'Base forecast'!L8,'Downside forecast'!L8)</f>
        <v>152.613487334363</v>
      </c>
      <c r="M8" s="4" t="n">
        <f aca="false">IF(Assumptions!$B$3="Base",'Base forecast'!M8,'Downside forecast'!M8)</f>
        <v>178.035082714332</v>
      </c>
    </row>
    <row r="9" customFormat="false" ht="15" hidden="false" customHeight="true" outlineLevel="0" collapsed="false">
      <c r="A9" s="3" t="s">
        <v>52</v>
      </c>
      <c r="B9" s="4" t="n">
        <f aca="false">IF(Assumptions!$B$3="Base",'Base forecast'!B9,'Downside forecast'!B9)</f>
        <v>300</v>
      </c>
      <c r="C9" s="4" t="n">
        <f aca="false">IF(Assumptions!$B$3="Base",'Base forecast'!C9,'Downside forecast'!C9)</f>
        <v>651</v>
      </c>
      <c r="D9" s="4" t="n">
        <f aca="false">IF(Assumptions!$B$3="Base",'Base forecast'!D9,'Downside forecast'!D9)</f>
        <v>1111.47</v>
      </c>
      <c r="E9" s="4" t="n">
        <f aca="false">IF(Assumptions!$B$3="Base",'Base forecast'!E9,'Downside forecast'!E9)</f>
        <v>1678.1259</v>
      </c>
      <c r="F9" s="4" t="n">
        <f aca="false">IF(Assumptions!$B$3="Base",'Base forecast'!F9,'Downside forecast'!F9)</f>
        <v>2347.782123</v>
      </c>
      <c r="G9" s="4" t="n">
        <f aca="false">IF(Assumptions!$B$3="Base",'Base forecast'!G9,'Downside forecast'!G9)</f>
        <v>3177.34865931</v>
      </c>
      <c r="H9" s="4" t="n">
        <f aca="false">IF(Assumptions!$B$3="Base",'Base forecast'!H9,'Downside forecast'!H9)</f>
        <v>4162.0281995307</v>
      </c>
      <c r="I9" s="4" t="n">
        <f aca="false">IF(Assumptions!$B$3="Base",'Base forecast'!I9,'Downside forecast'!I9)</f>
        <v>5237.16735354478</v>
      </c>
      <c r="J9" s="4" t="n">
        <f aca="false">IF(Assumptions!$B$3="Base",'Base forecast'!J9,'Downside forecast'!J9)</f>
        <v>6400.05233293844</v>
      </c>
      <c r="K9" s="4" t="n">
        <f aca="false">IF(Assumptions!$B$3="Base",'Base forecast'!K9,'Downside forecast'!K9)</f>
        <v>7708.05076295028</v>
      </c>
      <c r="L9" s="4" t="n">
        <f aca="false">IF(Assumptions!$B$3="Base",'Base forecast'!L9,'Downside forecast'!L9)</f>
        <v>9156.80924006177</v>
      </c>
      <c r="M9" s="4" t="n">
        <f aca="false">IF(Assumptions!$B$3="Base",'Base forecast'!M9,'Downside forecast'!M9)</f>
        <v>10682.1049628599</v>
      </c>
    </row>
    <row r="10" customFormat="false" ht="15" hidden="false" customHeight="true" outlineLevel="0" collapsed="false">
      <c r="A10" s="3" t="s">
        <v>53</v>
      </c>
      <c r="B10" s="4" t="n">
        <f aca="false">IF(Assumptions!$B$3="Base",'Base forecast'!B10,'Downside forecast'!B10)</f>
        <v>245</v>
      </c>
      <c r="C10" s="4" t="n">
        <f aca="false">IF(Assumptions!$B$3="Base",'Base forecast'!C10,'Downside forecast'!C10)</f>
        <v>531.65</v>
      </c>
      <c r="D10" s="4" t="n">
        <f aca="false">IF(Assumptions!$B$3="Base",'Base forecast'!D10,'Downside forecast'!D10)</f>
        <v>907.7005</v>
      </c>
      <c r="E10" s="4" t="n">
        <f aca="false">IF(Assumptions!$B$3="Base",'Base forecast'!E10,'Downside forecast'!E10)</f>
        <v>1370.469485</v>
      </c>
      <c r="F10" s="4" t="n">
        <f aca="false">IF(Assumptions!$B$3="Base",'Base forecast'!F10,'Downside forecast'!F10)</f>
        <v>1917.35540045</v>
      </c>
      <c r="G10" s="4" t="n">
        <f aca="false">IF(Assumptions!$B$3="Base",'Base forecast'!G10,'Downside forecast'!G10)</f>
        <v>2594.8347384365</v>
      </c>
      <c r="H10" s="4" t="n">
        <f aca="false">IF(Assumptions!$B$3="Base",'Base forecast'!H10,'Downside forecast'!H10)</f>
        <v>3398.98969628341</v>
      </c>
      <c r="I10" s="4" t="n">
        <f aca="false">IF(Assumptions!$B$3="Base",'Base forecast'!I10,'Downside forecast'!I10)</f>
        <v>4277.0200053949</v>
      </c>
      <c r="J10" s="4" t="n">
        <f aca="false">IF(Assumptions!$B$3="Base",'Base forecast'!J10,'Downside forecast'!J10)</f>
        <v>5226.70940523306</v>
      </c>
      <c r="K10" s="4" t="n">
        <f aca="false">IF(Assumptions!$B$3="Base",'Base forecast'!K10,'Downside forecast'!K10)</f>
        <v>6294.90812307606</v>
      </c>
      <c r="L10" s="4" t="n">
        <f aca="false">IF(Assumptions!$B$3="Base",'Base forecast'!L10,'Downside forecast'!L10)</f>
        <v>7478.06087938378</v>
      </c>
      <c r="M10" s="4" t="n">
        <f aca="false">IF(Assumptions!$B$3="Base",'Base forecast'!M10,'Downside forecast'!M10)</f>
        <v>8723.71905300227</v>
      </c>
    </row>
    <row r="11" customFormat="false" ht="15" hidden="false" customHeight="true" outlineLevel="0" collapsed="false">
      <c r="A11" s="3" t="s">
        <v>54</v>
      </c>
      <c r="B11" s="4" t="n">
        <f aca="false">IF(Assumptions!$B$3="Base",'Base forecast'!B11,'Downside forecast'!B11)</f>
        <v>0.08</v>
      </c>
      <c r="C11" s="4" t="n">
        <f aca="false">IF(Assumptions!$B$3="Base",'Base forecast'!C11,'Downside forecast'!C11)</f>
        <v>0.08</v>
      </c>
      <c r="D11" s="4" t="n">
        <f aca="false">IF(Assumptions!$B$3="Base",'Base forecast'!D11,'Downside forecast'!D11)</f>
        <v>0.08</v>
      </c>
      <c r="E11" s="4" t="n">
        <f aca="false">IF(Assumptions!$B$3="Base",'Base forecast'!E11,'Downside forecast'!E11)</f>
        <v>0.08</v>
      </c>
      <c r="F11" s="4" t="n">
        <f aca="false">IF(Assumptions!$B$3="Base",'Base forecast'!F11,'Downside forecast'!F11)</f>
        <v>0.08</v>
      </c>
      <c r="G11" s="4" t="n">
        <f aca="false">IF(Assumptions!$B$3="Base",'Base forecast'!G11,'Downside forecast'!G11)</f>
        <v>0.08</v>
      </c>
      <c r="H11" s="4" t="n">
        <f aca="false">IF(Assumptions!$B$3="Base",'Base forecast'!H11,'Downside forecast'!H11)</f>
        <v>0.08</v>
      </c>
      <c r="I11" s="4" t="n">
        <f aca="false">IF(Assumptions!$B$3="Base",'Base forecast'!I11,'Downside forecast'!I11)</f>
        <v>0.08</v>
      </c>
      <c r="J11" s="4" t="n">
        <f aca="false">IF(Assumptions!$B$3="Base",'Base forecast'!J11,'Downside forecast'!J11)</f>
        <v>0.08</v>
      </c>
      <c r="K11" s="4" t="n">
        <f aca="false">IF(Assumptions!$B$3="Base",'Base forecast'!K11,'Downside forecast'!K11)</f>
        <v>0.08</v>
      </c>
      <c r="L11" s="4" t="n">
        <f aca="false">IF(Assumptions!$B$3="Base",'Base forecast'!L11,'Downside forecast'!L11)</f>
        <v>0.08</v>
      </c>
      <c r="M11" s="4" t="n">
        <f aca="false">IF(Assumptions!$B$3="Base",'Base forecast'!M11,'Downside forecast'!M11)</f>
        <v>0.08</v>
      </c>
    </row>
    <row r="12" customFormat="false" ht="15" hidden="false" customHeight="true" outlineLevel="0" collapsed="false">
      <c r="A12" s="3" t="s">
        <v>55</v>
      </c>
      <c r="B12" s="4" t="n">
        <f aca="false">IF(Assumptions!$B$3="Base",'Base forecast'!B12,'Downside forecast'!B12)</f>
        <v>24</v>
      </c>
      <c r="C12" s="4" t="n">
        <f aca="false">IF(Assumptions!$B$3="Base",'Base forecast'!C12,'Downside forecast'!C12)</f>
        <v>52.08</v>
      </c>
      <c r="D12" s="4" t="n">
        <f aca="false">IF(Assumptions!$B$3="Base",'Base forecast'!D12,'Downside forecast'!D12)</f>
        <v>88.9176</v>
      </c>
      <c r="E12" s="4" t="n">
        <f aca="false">IF(Assumptions!$B$3="Base",'Base forecast'!E12,'Downside forecast'!E12)</f>
        <v>134.250072</v>
      </c>
      <c r="F12" s="4" t="n">
        <f aca="false">IF(Assumptions!$B$3="Base",'Base forecast'!F12,'Downside forecast'!F12)</f>
        <v>187.82256984</v>
      </c>
      <c r="G12" s="4" t="n">
        <f aca="false">IF(Assumptions!$B$3="Base",'Base forecast'!G12,'Downside forecast'!G12)</f>
        <v>254.1878927448</v>
      </c>
      <c r="H12" s="4" t="n">
        <f aca="false">IF(Assumptions!$B$3="Base",'Base forecast'!H12,'Downside forecast'!H12)</f>
        <v>332.962255962456</v>
      </c>
      <c r="I12" s="4" t="n">
        <f aca="false">IF(Assumptions!$B$3="Base",'Base forecast'!I12,'Downside forecast'!I12)</f>
        <v>418.973388283582</v>
      </c>
      <c r="J12" s="4" t="n">
        <f aca="false">IF(Assumptions!$B$3="Base",'Base forecast'!J12,'Downside forecast'!J12)</f>
        <v>512.004186635075</v>
      </c>
      <c r="K12" s="4" t="n">
        <f aca="false">IF(Assumptions!$B$3="Base",'Base forecast'!K12,'Downside forecast'!K12)</f>
        <v>616.644061036023</v>
      </c>
      <c r="L12" s="4" t="n">
        <f aca="false">IF(Assumptions!$B$3="Base",'Base forecast'!L12,'Downside forecast'!L12)</f>
        <v>732.544739204942</v>
      </c>
      <c r="M12" s="4" t="n">
        <f aca="false">IF(Assumptions!$B$3="Base",'Base forecast'!M12,'Downside forecast'!M12)</f>
        <v>854.568397028794</v>
      </c>
    </row>
    <row r="13" customFormat="false" ht="15" hidden="false" customHeight="true" outlineLevel="0" collapsed="false">
      <c r="A13" s="3" t="s">
        <v>56</v>
      </c>
      <c r="B13" s="4" t="n">
        <f aca="false">IF(Assumptions!$B$3="Base",'Base forecast'!B13,'Downside forecast'!B13)</f>
        <v>8.85</v>
      </c>
      <c r="C13" s="4" t="n">
        <f aca="false">IF(Assumptions!$B$3="Base",'Base forecast'!C13,'Downside forecast'!C13)</f>
        <v>19.2045</v>
      </c>
      <c r="D13" s="4" t="n">
        <f aca="false">IF(Assumptions!$B$3="Base",'Base forecast'!D13,'Downside forecast'!D13)</f>
        <v>32.788365</v>
      </c>
      <c r="E13" s="4" t="n">
        <f aca="false">IF(Assumptions!$B$3="Base",'Base forecast'!E13,'Downside forecast'!E13)</f>
        <v>49.50471405</v>
      </c>
      <c r="F13" s="4" t="n">
        <f aca="false">IF(Assumptions!$B$3="Base",'Base forecast'!F13,'Downside forecast'!F13)</f>
        <v>69.2595726285</v>
      </c>
      <c r="G13" s="4" t="n">
        <f aca="false">IF(Assumptions!$B$3="Base",'Base forecast'!G13,'Downside forecast'!G13)</f>
        <v>93.731785449645</v>
      </c>
      <c r="H13" s="4" t="n">
        <f aca="false">IF(Assumptions!$B$3="Base",'Base forecast'!H13,'Downside forecast'!H13)</f>
        <v>122.779831886156</v>
      </c>
      <c r="I13" s="4" t="n">
        <f aca="false">IF(Assumptions!$B$3="Base",'Base forecast'!I13,'Downside forecast'!I13)</f>
        <v>154.496436929571</v>
      </c>
      <c r="J13" s="4" t="n">
        <f aca="false">IF(Assumptions!$B$3="Base",'Base forecast'!J13,'Downside forecast'!J13)</f>
        <v>188.801543821684</v>
      </c>
      <c r="K13" s="4" t="n">
        <f aca="false">IF(Assumptions!$B$3="Base",'Base forecast'!K13,'Downside forecast'!K13)</f>
        <v>227.387497507033</v>
      </c>
      <c r="L13" s="4" t="n">
        <f aca="false">IF(Assumptions!$B$3="Base",'Base forecast'!L13,'Downside forecast'!L13)</f>
        <v>270.125872581822</v>
      </c>
      <c r="M13" s="4" t="n">
        <f aca="false">IF(Assumptions!$B$3="Base",'Base forecast'!M13,'Downside forecast'!M13)</f>
        <v>315.122096404368</v>
      </c>
    </row>
    <row r="14" customFormat="false" ht="15" hidden="false" customHeight="true" outlineLevel="0" collapsed="false">
      <c r="A14" s="3" t="s">
        <v>57</v>
      </c>
      <c r="B14" s="4" t="n">
        <f aca="false">IF(Assumptions!$B$3="Base",'Base forecast'!B14,'Downside forecast'!B14)</f>
        <v>32.85</v>
      </c>
      <c r="C14" s="4" t="n">
        <f aca="false">IF(Assumptions!$B$3="Base",'Base forecast'!C14,'Downside forecast'!C14)</f>
        <v>71.2845</v>
      </c>
      <c r="D14" s="4" t="n">
        <f aca="false">IF(Assumptions!$B$3="Base",'Base forecast'!D14,'Downside forecast'!D14)</f>
        <v>121.705965</v>
      </c>
      <c r="E14" s="4" t="n">
        <f aca="false">IF(Assumptions!$B$3="Base",'Base forecast'!E14,'Downside forecast'!E14)</f>
        <v>183.75478605</v>
      </c>
      <c r="F14" s="4" t="n">
        <f aca="false">IF(Assumptions!$B$3="Base",'Base forecast'!F14,'Downside forecast'!F14)</f>
        <v>257.0821424685</v>
      </c>
      <c r="G14" s="4" t="n">
        <f aca="false">IF(Assumptions!$B$3="Base",'Base forecast'!G14,'Downside forecast'!G14)</f>
        <v>347.919678194445</v>
      </c>
      <c r="H14" s="4" t="n">
        <f aca="false">IF(Assumptions!$B$3="Base",'Base forecast'!H14,'Downside forecast'!H14)</f>
        <v>455.742087848612</v>
      </c>
      <c r="I14" s="4" t="n">
        <f aca="false">IF(Assumptions!$B$3="Base",'Base forecast'!I14,'Downside forecast'!I14)</f>
        <v>573.469825213153</v>
      </c>
      <c r="J14" s="4" t="n">
        <f aca="false">IF(Assumptions!$B$3="Base",'Base forecast'!J14,'Downside forecast'!J14)</f>
        <v>700.805730456759</v>
      </c>
      <c r="K14" s="4" t="n">
        <f aca="false">IF(Assumptions!$B$3="Base",'Base forecast'!K14,'Downside forecast'!K14)</f>
        <v>844.031558543056</v>
      </c>
      <c r="L14" s="4" t="n">
        <f aca="false">IF(Assumptions!$B$3="Base",'Base forecast'!L14,'Downside forecast'!L14)</f>
        <v>1002.67061178676</v>
      </c>
      <c r="M14" s="4" t="n">
        <f aca="false">IF(Assumptions!$B$3="Base",'Base forecast'!M14,'Downside forecast'!M14)</f>
        <v>1169.69049343316</v>
      </c>
    </row>
    <row r="15" customFormat="false" ht="15" hidden="false" customHeight="true" outlineLevel="0" collapsed="false">
      <c r="A15" s="3" t="s">
        <v>7</v>
      </c>
      <c r="B15" s="4" t="n">
        <f aca="false">IF(Assumptions!$B$3="Base",'Base forecast'!B15,'Downside forecast'!B15)</f>
        <v>212.15</v>
      </c>
      <c r="C15" s="4" t="n">
        <f aca="false">IF(Assumptions!$B$3="Base",'Base forecast'!C15,'Downside forecast'!C15)</f>
        <v>460.3655</v>
      </c>
      <c r="D15" s="4" t="n">
        <f aca="false">IF(Assumptions!$B$3="Base",'Base forecast'!D15,'Downside forecast'!D15)</f>
        <v>785.994535</v>
      </c>
      <c r="E15" s="4" t="n">
        <f aca="false">IF(Assumptions!$B$3="Base",'Base forecast'!E15,'Downside forecast'!E15)</f>
        <v>1186.71469895</v>
      </c>
      <c r="F15" s="4" t="n">
        <f aca="false">IF(Assumptions!$B$3="Base",'Base forecast'!F15,'Downside forecast'!F15)</f>
        <v>1660.2732579815</v>
      </c>
      <c r="G15" s="4" t="n">
        <f aca="false">IF(Assumptions!$B$3="Base",'Base forecast'!G15,'Downside forecast'!G15)</f>
        <v>2246.91506024206</v>
      </c>
      <c r="H15" s="4" t="n">
        <f aca="false">IF(Assumptions!$B$3="Base",'Base forecast'!H15,'Downside forecast'!H15)</f>
        <v>2943.24760843479</v>
      </c>
      <c r="I15" s="4" t="n">
        <f aca="false">IF(Assumptions!$B$3="Base",'Base forecast'!I15,'Downside forecast'!I15)</f>
        <v>3703.55018018175</v>
      </c>
      <c r="J15" s="4" t="n">
        <f aca="false">IF(Assumptions!$B$3="Base",'Base forecast'!J15,'Downside forecast'!J15)</f>
        <v>4525.9036747763</v>
      </c>
      <c r="K15" s="4" t="n">
        <f aca="false">IF(Assumptions!$B$3="Base",'Base forecast'!K15,'Downside forecast'!K15)</f>
        <v>5450.87656453301</v>
      </c>
      <c r="L15" s="4" t="n">
        <f aca="false">IF(Assumptions!$B$3="Base",'Base forecast'!L15,'Downside forecast'!L15)</f>
        <v>6475.39026759702</v>
      </c>
      <c r="M15" s="4" t="n">
        <f aca="false">IF(Assumptions!$B$3="Base",'Base forecast'!M15,'Downside forecast'!M15)</f>
        <v>7554.02855956911</v>
      </c>
    </row>
    <row r="16" customFormat="false" ht="15" hidden="false" customHeight="true" outlineLevel="0" collapsed="false">
      <c r="A16" s="3" t="s">
        <v>58</v>
      </c>
      <c r="B16" s="5" t="n">
        <f aca="false">IF(Assumptions!$B$3="Base",'Base forecast'!B16,'Downside forecast'!B16)</f>
        <v>0.865918367346939</v>
      </c>
      <c r="C16" s="5" t="n">
        <f aca="false">IF(Assumptions!$B$3="Base",'Base forecast'!C16,'Downside forecast'!C16)</f>
        <v>0.865918367346939</v>
      </c>
      <c r="D16" s="5" t="n">
        <f aca="false">IF(Assumptions!$B$3="Base",'Base forecast'!D16,'Downside forecast'!D16)</f>
        <v>0.865918367346939</v>
      </c>
      <c r="E16" s="5" t="n">
        <f aca="false">IF(Assumptions!$B$3="Base",'Base forecast'!E16,'Downside forecast'!E16)</f>
        <v>0.865918367346939</v>
      </c>
      <c r="F16" s="5" t="n">
        <f aca="false">IF(Assumptions!$B$3="Base",'Base forecast'!F16,'Downside forecast'!F16)</f>
        <v>0.865918367346939</v>
      </c>
      <c r="G16" s="5" t="n">
        <f aca="false">IF(Assumptions!$B$3="Base",'Base forecast'!G16,'Downside forecast'!G16)</f>
        <v>0.865918367346939</v>
      </c>
      <c r="H16" s="5" t="n">
        <f aca="false">IF(Assumptions!$B$3="Base",'Base forecast'!H16,'Downside forecast'!H16)</f>
        <v>0.865918367346939</v>
      </c>
      <c r="I16" s="5" t="n">
        <f aca="false">IF(Assumptions!$B$3="Base",'Base forecast'!I16,'Downside forecast'!I16)</f>
        <v>0.865918367346939</v>
      </c>
      <c r="J16" s="5" t="n">
        <f aca="false">IF(Assumptions!$B$3="Base",'Base forecast'!J16,'Downside forecast'!J16)</f>
        <v>0.865918367346939</v>
      </c>
      <c r="K16" s="5" t="n">
        <f aca="false">IF(Assumptions!$B$3="Base",'Base forecast'!K16,'Downside forecast'!K16)</f>
        <v>0.865918367346939</v>
      </c>
      <c r="L16" s="5" t="n">
        <f aca="false">IF(Assumptions!$B$3="Base",'Base forecast'!L16,'Downside forecast'!L16)</f>
        <v>0.865918367346939</v>
      </c>
      <c r="M16" s="5" t="n">
        <f aca="false">IF(Assumptions!$B$3="Base",'Base forecast'!M16,'Downside forecast'!M16)</f>
        <v>0.865918367346939</v>
      </c>
    </row>
    <row r="17" customFormat="false" ht="15" hidden="false" customHeight="true" outlineLevel="0" collapsed="false">
      <c r="A17" s="3" t="s">
        <v>40</v>
      </c>
      <c r="B17" s="4" t="n">
        <f aca="false">IF(Assumptions!$B$3="Base",'Base forecast'!B17,'Downside forecast'!B17)</f>
        <v>50</v>
      </c>
      <c r="C17" s="4" t="n">
        <f aca="false">IF(Assumptions!$B$3="Base",'Base forecast'!C17,'Downside forecast'!C17)</f>
        <v>50</v>
      </c>
      <c r="D17" s="4" t="n">
        <f aca="false">IF(Assumptions!$B$3="Base",'Base forecast'!D17,'Downside forecast'!D17)</f>
        <v>50</v>
      </c>
      <c r="E17" s="4" t="n">
        <f aca="false">IF(Assumptions!$B$3="Base",'Base forecast'!E17,'Downside forecast'!E17)</f>
        <v>50</v>
      </c>
      <c r="F17" s="4" t="n">
        <f aca="false">IF(Assumptions!$B$3="Base",'Base forecast'!F17,'Downside forecast'!F17)</f>
        <v>50</v>
      </c>
      <c r="G17" s="4" t="n">
        <f aca="false">IF(Assumptions!$B$3="Base",'Base forecast'!G17,'Downside forecast'!G17)</f>
        <v>50</v>
      </c>
      <c r="H17" s="4" t="n">
        <f aca="false">IF(Assumptions!$B$3="Base",'Base forecast'!H17,'Downside forecast'!H17)</f>
        <v>50</v>
      </c>
      <c r="I17" s="4" t="n">
        <f aca="false">IF(Assumptions!$B$3="Base",'Base forecast'!I17,'Downside forecast'!I17)</f>
        <v>50</v>
      </c>
      <c r="J17" s="4" t="n">
        <f aca="false">IF(Assumptions!$B$3="Base",'Base forecast'!J17,'Downside forecast'!J17)</f>
        <v>50</v>
      </c>
      <c r="K17" s="4" t="n">
        <f aca="false">IF(Assumptions!$B$3="Base",'Base forecast'!K17,'Downside forecast'!K17)</f>
        <v>50</v>
      </c>
      <c r="L17" s="4" t="n">
        <f aca="false">IF(Assumptions!$B$3="Base",'Base forecast'!L17,'Downside forecast'!L17)</f>
        <v>50</v>
      </c>
      <c r="M17" s="4" t="n">
        <f aca="false">IF(Assumptions!$B$3="Base",'Base forecast'!M17,'Downside forecast'!M17)</f>
        <v>50</v>
      </c>
    </row>
    <row r="18" customFormat="false" ht="15" hidden="false" customHeight="true" outlineLevel="0" collapsed="false">
      <c r="A18" s="3" t="s">
        <v>59</v>
      </c>
      <c r="B18" s="4" t="n">
        <f aca="false">IF(Assumptions!$B$3="Base",'Base forecast'!B18,'Downside forecast'!B18)</f>
        <v>162.15</v>
      </c>
      <c r="C18" s="4" t="n">
        <f aca="false">IF(Assumptions!$B$3="Base",'Base forecast'!C18,'Downside forecast'!C18)</f>
        <v>410.3655</v>
      </c>
      <c r="D18" s="4" t="n">
        <f aca="false">IF(Assumptions!$B$3="Base",'Base forecast'!D18,'Downside forecast'!D18)</f>
        <v>735.994535</v>
      </c>
      <c r="E18" s="4" t="n">
        <f aca="false">IF(Assumptions!$B$3="Base",'Base forecast'!E18,'Downside forecast'!E18)</f>
        <v>1136.71469895</v>
      </c>
      <c r="F18" s="4" t="n">
        <f aca="false">IF(Assumptions!$B$3="Base",'Base forecast'!F18,'Downside forecast'!F18)</f>
        <v>1610.2732579815</v>
      </c>
      <c r="G18" s="4" t="n">
        <f aca="false">IF(Assumptions!$B$3="Base",'Base forecast'!G18,'Downside forecast'!G18)</f>
        <v>2196.91506024206</v>
      </c>
      <c r="H18" s="4" t="n">
        <f aca="false">IF(Assumptions!$B$3="Base",'Base forecast'!H18,'Downside forecast'!H18)</f>
        <v>2893.24760843479</v>
      </c>
      <c r="I18" s="4" t="n">
        <f aca="false">IF(Assumptions!$B$3="Base",'Base forecast'!I18,'Downside forecast'!I18)</f>
        <v>3653.55018018175</v>
      </c>
      <c r="J18" s="4" t="n">
        <f aca="false">IF(Assumptions!$B$3="Base",'Base forecast'!J18,'Downside forecast'!J18)</f>
        <v>4475.9036747763</v>
      </c>
      <c r="K18" s="4" t="n">
        <f aca="false">IF(Assumptions!$B$3="Base",'Base forecast'!K18,'Downside forecast'!K18)</f>
        <v>5400.87656453301</v>
      </c>
      <c r="L18" s="4" t="n">
        <f aca="false">IF(Assumptions!$B$3="Base",'Base forecast'!L18,'Downside forecast'!L18)</f>
        <v>6425.39026759702</v>
      </c>
      <c r="M18" s="4" t="n">
        <f aca="false">IF(Assumptions!$B$3="Base",'Base forecast'!M18,'Downside forecast'!M18)</f>
        <v>7504.02855956911</v>
      </c>
    </row>
    <row r="19" customFormat="false" ht="15" hidden="false" customHeight="true" outlineLevel="0" collapsed="false">
      <c r="A19" s="3" t="s">
        <v>9</v>
      </c>
      <c r="B19" s="5" t="n">
        <f aca="false">IF(Assumptions!$B$3="Base",'Base forecast'!B19,'Downside forecast'!B19)</f>
        <v>0.661836734693878</v>
      </c>
      <c r="C19" s="5" t="n">
        <f aca="false">IF(Assumptions!$B$3="Base",'Base forecast'!C19,'Downside forecast'!C19)</f>
        <v>0.771871532022947</v>
      </c>
      <c r="D19" s="5" t="n">
        <f aca="false">IF(Assumptions!$B$3="Base",'Base forecast'!D19,'Downside forecast'!D19)</f>
        <v>0.810834118742911</v>
      </c>
      <c r="E19" s="5" t="n">
        <f aca="false">IF(Assumptions!$B$3="Base",'Base forecast'!E19,'Downside forecast'!E19)</f>
        <v>0.829434519623763</v>
      </c>
      <c r="F19" s="5" t="n">
        <f aca="false">IF(Assumptions!$B$3="Base",'Base forecast'!F19,'Downside forecast'!F19)</f>
        <v>0.839840781528334</v>
      </c>
      <c r="G19" s="5" t="n">
        <f aca="false">IF(Assumptions!$B$3="Base",'Base forecast'!G19,'Downside forecast'!G19)</f>
        <v>0.846649317468977</v>
      </c>
      <c r="H19" s="5" t="n">
        <f aca="false">IF(Assumptions!$B$3="Base",'Base forecast'!H19,'Downside forecast'!H19)</f>
        <v>0.851208113869362</v>
      </c>
      <c r="I19" s="5" t="n">
        <f aca="false">IF(Assumptions!$B$3="Base",'Base forecast'!I19,'Downside forecast'!I19)</f>
        <v>0.854227984805606</v>
      </c>
      <c r="J19" s="5" t="n">
        <f aca="false">IF(Assumptions!$B$3="Base",'Base forecast'!J19,'Downside forecast'!J19)</f>
        <v>0.856352119039746</v>
      </c>
      <c r="K19" s="5" t="n">
        <f aca="false">IF(Assumptions!$B$3="Base",'Base forecast'!K19,'Downside forecast'!K19)</f>
        <v>0.857975439662783</v>
      </c>
      <c r="L19" s="5" t="n">
        <f aca="false">IF(Assumptions!$B$3="Base",'Base forecast'!L19,'Downside forecast'!L19)</f>
        <v>0.859232142026436</v>
      </c>
      <c r="M19" s="5" t="n">
        <f aca="false">IF(Assumptions!$B$3="Base",'Base forecast'!M19,'Downside forecast'!M19)</f>
        <v>0.860186866860023</v>
      </c>
    </row>
    <row r="20" customFormat="false" ht="15" hidden="false" customHeight="true" outlineLevel="0" collapsed="false">
      <c r="A20" s="3" t="s">
        <v>60</v>
      </c>
      <c r="B20" s="4" t="n">
        <f aca="false">IF(Assumptions!$B$3="Base",'Base forecast'!B20,'Downside forecast'!B20)</f>
        <v>1000</v>
      </c>
      <c r="C20" s="4" t="n">
        <f aca="false">IF(Assumptions!$B$3="Base",'Base forecast'!C20,'Downside forecast'!C20)</f>
        <v>1000</v>
      </c>
      <c r="D20" s="4" t="n">
        <f aca="false">IF(Assumptions!$B$3="Base",'Base forecast'!D20,'Downside forecast'!D20)</f>
        <v>1000</v>
      </c>
      <c r="E20" s="4" t="n">
        <f aca="false">IF(Assumptions!$B$3="Base",'Base forecast'!E20,'Downside forecast'!E20)</f>
        <v>1000</v>
      </c>
      <c r="F20" s="4" t="n">
        <f aca="false">IF(Assumptions!$B$3="Base",'Base forecast'!F20,'Downside forecast'!F20)</f>
        <v>1000</v>
      </c>
      <c r="G20" s="4" t="n">
        <f aca="false">IF(Assumptions!$B$3="Base",'Base forecast'!G20,'Downside forecast'!G20)</f>
        <v>1000</v>
      </c>
      <c r="H20" s="4" t="n">
        <f aca="false">IF(Assumptions!$B$3="Base",'Base forecast'!H20,'Downside forecast'!H20)</f>
        <v>1000</v>
      </c>
      <c r="I20" s="4" t="n">
        <f aca="false">IF(Assumptions!$B$3="Base",'Base forecast'!I20,'Downside forecast'!I20)</f>
        <v>1000</v>
      </c>
      <c r="J20" s="4" t="n">
        <f aca="false">IF(Assumptions!$B$3="Base",'Base forecast'!J20,'Downside forecast'!J20)</f>
        <v>1000</v>
      </c>
      <c r="K20" s="4" t="n">
        <f aca="false">IF(Assumptions!$B$3="Base",'Base forecast'!K20,'Downside forecast'!K20)</f>
        <v>1000</v>
      </c>
      <c r="L20" s="4" t="n">
        <f aca="false">IF(Assumptions!$B$3="Base",'Base forecast'!L20,'Downside forecast'!L20)</f>
        <v>1000</v>
      </c>
      <c r="M20" s="4" t="n">
        <f aca="false">IF(Assumptions!$B$3="Base",'Base forecast'!M20,'Downside forecast'!M20)</f>
        <v>1000</v>
      </c>
    </row>
    <row r="21" customFormat="false" ht="15" hidden="false" customHeight="true" outlineLevel="0" collapsed="false">
      <c r="A21" s="3" t="s">
        <v>42</v>
      </c>
      <c r="B21" s="4" t="n">
        <f aca="false">IF(Assumptions!$B$3="Base",'Base forecast'!B21,'Downside forecast'!B21)</f>
        <v>200</v>
      </c>
      <c r="C21" s="4" t="n">
        <f aca="false">IF(Assumptions!$B$3="Base",'Base forecast'!C21,'Downside forecast'!C21)</f>
        <v>200</v>
      </c>
      <c r="D21" s="4" t="n">
        <f aca="false">IF(Assumptions!$B$3="Base",'Base forecast'!D21,'Downside forecast'!D21)</f>
        <v>200</v>
      </c>
      <c r="E21" s="4" t="n">
        <f aca="false">IF(Assumptions!$B$3="Base",'Base forecast'!E21,'Downside forecast'!E21)</f>
        <v>200</v>
      </c>
      <c r="F21" s="4" t="n">
        <f aca="false">IF(Assumptions!$B$3="Base",'Base forecast'!F21,'Downside forecast'!F21)</f>
        <v>200</v>
      </c>
      <c r="G21" s="4" t="n">
        <f aca="false">IF(Assumptions!$B$3="Base",'Base forecast'!G21,'Downside forecast'!G21)</f>
        <v>200</v>
      </c>
      <c r="H21" s="4" t="n">
        <f aca="false">IF(Assumptions!$B$3="Base",'Base forecast'!H21,'Downside forecast'!H21)</f>
        <v>200</v>
      </c>
      <c r="I21" s="4" t="n">
        <f aca="false">IF(Assumptions!$B$3="Base",'Base forecast'!I21,'Downside forecast'!I21)</f>
        <v>200</v>
      </c>
      <c r="J21" s="4" t="n">
        <f aca="false">IF(Assumptions!$B$3="Base",'Base forecast'!J21,'Downside forecast'!J21)</f>
        <v>200</v>
      </c>
      <c r="K21" s="4" t="n">
        <f aca="false">IF(Assumptions!$B$3="Base",'Base forecast'!K21,'Downside forecast'!K21)</f>
        <v>200</v>
      </c>
      <c r="L21" s="4" t="n">
        <f aca="false">IF(Assumptions!$B$3="Base",'Base forecast'!L21,'Downside forecast'!L21)</f>
        <v>200</v>
      </c>
      <c r="M21" s="4" t="n">
        <f aca="false">IF(Assumptions!$B$3="Base",'Base forecast'!M21,'Downside forecast'!M21)</f>
        <v>200</v>
      </c>
    </row>
    <row r="22" customFormat="false" ht="15" hidden="false" customHeight="true" outlineLevel="0" collapsed="false">
      <c r="A22" s="3" t="s">
        <v>43</v>
      </c>
      <c r="B22" s="4" t="n">
        <f aca="false">IF(Assumptions!$B$3="Base",'Base forecast'!B22,'Downside forecast'!B22)</f>
        <v>150</v>
      </c>
      <c r="C22" s="4" t="n">
        <f aca="false">IF(Assumptions!$B$3="Base",'Base forecast'!C22,'Downside forecast'!C22)</f>
        <v>150</v>
      </c>
      <c r="D22" s="4" t="n">
        <f aca="false">IF(Assumptions!$B$3="Base",'Base forecast'!D22,'Downside forecast'!D22)</f>
        <v>150</v>
      </c>
      <c r="E22" s="4" t="n">
        <f aca="false">IF(Assumptions!$B$3="Base",'Base forecast'!E22,'Downside forecast'!E22)</f>
        <v>150</v>
      </c>
      <c r="F22" s="4" t="n">
        <f aca="false">IF(Assumptions!$B$3="Base",'Base forecast'!F22,'Downside forecast'!F22)</f>
        <v>150</v>
      </c>
      <c r="G22" s="4" t="n">
        <f aca="false">IF(Assumptions!$B$3="Base",'Base forecast'!G22,'Downside forecast'!G22)</f>
        <v>150</v>
      </c>
      <c r="H22" s="4" t="n">
        <f aca="false">IF(Assumptions!$B$3="Base",'Base forecast'!H22,'Downside forecast'!H22)</f>
        <v>150</v>
      </c>
      <c r="I22" s="4" t="n">
        <f aca="false">IF(Assumptions!$B$3="Base",'Base forecast'!I22,'Downside forecast'!I22)</f>
        <v>150</v>
      </c>
      <c r="J22" s="4" t="n">
        <f aca="false">IF(Assumptions!$B$3="Base",'Base forecast'!J22,'Downside forecast'!J22)</f>
        <v>150</v>
      </c>
      <c r="K22" s="4" t="n">
        <f aca="false">IF(Assumptions!$B$3="Base",'Base forecast'!K22,'Downside forecast'!K22)</f>
        <v>150</v>
      </c>
      <c r="L22" s="4" t="n">
        <f aca="false">IF(Assumptions!$B$3="Base",'Base forecast'!L22,'Downside forecast'!L22)</f>
        <v>150</v>
      </c>
      <c r="M22" s="4" t="n">
        <f aca="false">IF(Assumptions!$B$3="Base",'Base forecast'!M22,'Downside forecast'!M22)</f>
        <v>150</v>
      </c>
    </row>
    <row r="23" customFormat="false" ht="15" hidden="false" customHeight="true" outlineLevel="0" collapsed="false">
      <c r="A23" s="3" t="s">
        <v>61</v>
      </c>
      <c r="B23" s="4" t="n">
        <f aca="false">IF(Assumptions!$B$3="Base",'Base forecast'!B23,'Downside forecast'!B23)</f>
        <v>1350</v>
      </c>
      <c r="C23" s="4" t="n">
        <f aca="false">IF(Assumptions!$B$3="Base",'Base forecast'!C23,'Downside forecast'!C23)</f>
        <v>1350</v>
      </c>
      <c r="D23" s="4" t="n">
        <f aca="false">IF(Assumptions!$B$3="Base",'Base forecast'!D23,'Downside forecast'!D23)</f>
        <v>1350</v>
      </c>
      <c r="E23" s="4" t="n">
        <f aca="false">IF(Assumptions!$B$3="Base",'Base forecast'!E23,'Downside forecast'!E23)</f>
        <v>1350</v>
      </c>
      <c r="F23" s="4" t="n">
        <f aca="false">IF(Assumptions!$B$3="Base",'Base forecast'!F23,'Downside forecast'!F23)</f>
        <v>1350</v>
      </c>
      <c r="G23" s="4" t="n">
        <f aca="false">IF(Assumptions!$B$3="Base",'Base forecast'!G23,'Downside forecast'!G23)</f>
        <v>1350</v>
      </c>
      <c r="H23" s="4" t="n">
        <f aca="false">IF(Assumptions!$B$3="Base",'Base forecast'!H23,'Downside forecast'!H23)</f>
        <v>1350</v>
      </c>
      <c r="I23" s="4" t="n">
        <f aca="false">IF(Assumptions!$B$3="Base",'Base forecast'!I23,'Downside forecast'!I23)</f>
        <v>1350</v>
      </c>
      <c r="J23" s="4" t="n">
        <f aca="false">IF(Assumptions!$B$3="Base",'Base forecast'!J23,'Downside forecast'!J23)</f>
        <v>1350</v>
      </c>
      <c r="K23" s="4" t="n">
        <f aca="false">IF(Assumptions!$B$3="Base",'Base forecast'!K23,'Downside forecast'!K23)</f>
        <v>1350</v>
      </c>
      <c r="L23" s="4" t="n">
        <f aca="false">IF(Assumptions!$B$3="Base",'Base forecast'!L23,'Downside forecast'!L23)</f>
        <v>1350</v>
      </c>
      <c r="M23" s="4" t="n">
        <f aca="false">IF(Assumptions!$B$3="Base",'Base forecast'!M23,'Downside forecast'!M23)</f>
        <v>1350</v>
      </c>
    </row>
    <row r="24" customFormat="false" ht="15" hidden="false" customHeight="true" outlineLevel="0" collapsed="false">
      <c r="A24" s="3" t="s">
        <v>62</v>
      </c>
      <c r="B24" s="4" t="n">
        <f aca="false">IF(Assumptions!$B$3="Base",'Base forecast'!B24,'Downside forecast'!B24)</f>
        <v>-1187.85</v>
      </c>
      <c r="C24" s="4" t="n">
        <f aca="false">IF(Assumptions!$B$3="Base",'Base forecast'!C24,'Downside forecast'!C24)</f>
        <v>-939.6345</v>
      </c>
      <c r="D24" s="4" t="n">
        <f aca="false">IF(Assumptions!$B$3="Base",'Base forecast'!D24,'Downside forecast'!D24)</f>
        <v>-614.005465</v>
      </c>
      <c r="E24" s="4" t="n">
        <f aca="false">IF(Assumptions!$B$3="Base",'Base forecast'!E24,'Downside forecast'!E24)</f>
        <v>-213.28530105</v>
      </c>
      <c r="F24" s="4" t="n">
        <f aca="false">IF(Assumptions!$B$3="Base",'Base forecast'!F24,'Downside forecast'!F24)</f>
        <v>260.2732579815</v>
      </c>
      <c r="G24" s="4" t="n">
        <f aca="false">IF(Assumptions!$B$3="Base",'Base forecast'!G24,'Downside forecast'!G24)</f>
        <v>846.915060242055</v>
      </c>
      <c r="H24" s="4" t="n">
        <f aca="false">IF(Assumptions!$B$3="Base",'Base forecast'!H24,'Downside forecast'!H24)</f>
        <v>1543.24760843479</v>
      </c>
      <c r="I24" s="4" t="n">
        <f aca="false">IF(Assumptions!$B$3="Base",'Base forecast'!I24,'Downside forecast'!I24)</f>
        <v>2303.55018018175</v>
      </c>
      <c r="J24" s="4" t="n">
        <f aca="false">IF(Assumptions!$B$3="Base",'Base forecast'!J24,'Downside forecast'!J24)</f>
        <v>3125.9036747763</v>
      </c>
      <c r="K24" s="4" t="n">
        <f aca="false">IF(Assumptions!$B$3="Base",'Base forecast'!K24,'Downside forecast'!K24)</f>
        <v>4050.87656453301</v>
      </c>
      <c r="L24" s="4" t="n">
        <f aca="false">IF(Assumptions!$B$3="Base",'Base forecast'!L24,'Downside forecast'!L24)</f>
        <v>5075.39026759702</v>
      </c>
      <c r="M24" s="4" t="n">
        <f aca="false">IF(Assumptions!$B$3="Base",'Base forecast'!M24,'Downside forecast'!M24)</f>
        <v>6154.02855956911</v>
      </c>
    </row>
    <row r="25" customFormat="false" ht="15" hidden="false" customHeight="true" outlineLevel="0" collapsed="false">
      <c r="A25" s="3" t="s">
        <v>20</v>
      </c>
      <c r="B25" s="4" t="n">
        <f aca="false">IF(Assumptions!$B$3="Base",'Base forecast'!B25,'Downside forecast'!B25)</f>
        <v>10000</v>
      </c>
      <c r="C25" s="4" t="n">
        <f aca="false">IF(Assumptions!$B$3="Base",'Base forecast'!C25,'Downside forecast'!C25)</f>
        <v>8812.15</v>
      </c>
      <c r="D25" s="4" t="n">
        <f aca="false">IF(Assumptions!$B$3="Base",'Base forecast'!D25,'Downside forecast'!D25)</f>
        <v>7872.5155</v>
      </c>
      <c r="E25" s="4" t="n">
        <f aca="false">IF(Assumptions!$B$3="Base",'Base forecast'!E25,'Downside forecast'!E25)</f>
        <v>7258.510035</v>
      </c>
      <c r="F25" s="4" t="n">
        <f aca="false">IF(Assumptions!$B$3="Base",'Base forecast'!F25,'Downside forecast'!F25)</f>
        <v>7045.22473395</v>
      </c>
      <c r="G25" s="4" t="n">
        <f aca="false">IF(Assumptions!$B$3="Base",'Base forecast'!G25,'Downside forecast'!G25)</f>
        <v>7305.4979919315</v>
      </c>
      <c r="H25" s="4" t="n">
        <f aca="false">IF(Assumptions!$B$3="Base",'Base forecast'!H25,'Downside forecast'!H25)</f>
        <v>8152.41305217355</v>
      </c>
      <c r="I25" s="4" t="n">
        <f aca="false">IF(Assumptions!$B$3="Base",'Base forecast'!I25,'Downside forecast'!I25)</f>
        <v>9695.66066060835</v>
      </c>
      <c r="J25" s="4" t="n">
        <f aca="false">IF(Assumptions!$B$3="Base",'Base forecast'!J25,'Downside forecast'!J25)</f>
        <v>11999.2108407901</v>
      </c>
      <c r="K25" s="4" t="n">
        <f aca="false">IF(Assumptions!$B$3="Base",'Base forecast'!K25,'Downside forecast'!K25)</f>
        <v>15125.1145155664</v>
      </c>
      <c r="L25" s="4" t="n">
        <f aca="false">IF(Assumptions!$B$3="Base",'Base forecast'!L25,'Downside forecast'!L25)</f>
        <v>19175.9910800994</v>
      </c>
      <c r="M25" s="4" t="n">
        <f aca="false">IF(Assumptions!$B$3="Base",'Base forecast'!M25,'Downside forecast'!M25)</f>
        <v>24251.3813476964</v>
      </c>
    </row>
    <row r="26" customFormat="false" ht="15" hidden="false" customHeight="true" outlineLevel="0" collapsed="false">
      <c r="A26" s="3" t="s">
        <v>63</v>
      </c>
      <c r="B26" s="4" t="n">
        <f aca="false">IF(Assumptions!$B$3="Base",'Base forecast'!B26,'Downside forecast'!B26)</f>
        <v>8812.15</v>
      </c>
      <c r="C26" s="4" t="n">
        <f aca="false">IF(Assumptions!$B$3="Base",'Base forecast'!C26,'Downside forecast'!C26)</f>
        <v>7872.5155</v>
      </c>
      <c r="D26" s="4" t="n">
        <f aca="false">IF(Assumptions!$B$3="Base",'Base forecast'!D26,'Downside forecast'!D26)</f>
        <v>7258.510035</v>
      </c>
      <c r="E26" s="4" t="n">
        <f aca="false">IF(Assumptions!$B$3="Base",'Base forecast'!E26,'Downside forecast'!E26)</f>
        <v>7045.22473395</v>
      </c>
      <c r="F26" s="4" t="n">
        <f aca="false">IF(Assumptions!$B$3="Base",'Base forecast'!F26,'Downside forecast'!F26)</f>
        <v>7305.4979919315</v>
      </c>
      <c r="G26" s="4" t="n">
        <f aca="false">IF(Assumptions!$B$3="Base",'Base forecast'!G26,'Downside forecast'!G26)</f>
        <v>8152.41305217355</v>
      </c>
      <c r="H26" s="4" t="n">
        <f aca="false">IF(Assumptions!$B$3="Base",'Base forecast'!H26,'Downside forecast'!H26)</f>
        <v>9695.66066060835</v>
      </c>
      <c r="I26" s="4" t="n">
        <f aca="false">IF(Assumptions!$B$3="Base",'Base forecast'!I26,'Downside forecast'!I26)</f>
        <v>11999.2108407901</v>
      </c>
      <c r="J26" s="4" t="n">
        <f aca="false">IF(Assumptions!$B$3="Base",'Base forecast'!J26,'Downside forecast'!J26)</f>
        <v>15125.1145155664</v>
      </c>
      <c r="K26" s="4" t="n">
        <f aca="false">IF(Assumptions!$B$3="Base",'Base forecast'!K26,'Downside forecast'!K26)</f>
        <v>19175.9910800994</v>
      </c>
      <c r="L26" s="4" t="n">
        <f aca="false">IF(Assumptions!$B$3="Base",'Base forecast'!L26,'Downside forecast'!L26)</f>
        <v>24251.3813476964</v>
      </c>
      <c r="M26" s="4" t="n">
        <f aca="false">IF(Assumptions!$B$3="Base",'Base forecast'!M26,'Downside forecast'!M26)</f>
        <v>30405.4099072655</v>
      </c>
    </row>
    <row r="27" customFormat="false" ht="15" hidden="false" customHeight="true" outlineLevel="0" collapsed="false">
      <c r="A27" s="3" t="s">
        <v>64</v>
      </c>
      <c r="B27" s="4" t="n">
        <f aca="false">IF(Assumptions!$B$3="Base",'Base forecast'!B27,'Downside forecast'!B27)</f>
        <v>0</v>
      </c>
      <c r="C27" s="4" t="n">
        <f aca="false">IF(Assumptions!$B$3="Base",'Base forecast'!C27,'Downside forecast'!C27)</f>
        <v>0</v>
      </c>
      <c r="D27" s="4" t="n">
        <f aca="false">IF(Assumptions!$B$3="Base",'Base forecast'!D27,'Downside forecast'!D27)</f>
        <v>0</v>
      </c>
      <c r="E27" s="4" t="n">
        <f aca="false">IF(Assumptions!$B$3="Base",'Base forecast'!E27,'Downside forecast'!E27)</f>
        <v>0</v>
      </c>
      <c r="F27" s="4" t="n">
        <f aca="false">IF(Assumptions!$B$3="Base",'Base forecast'!F27,'Downside forecast'!F27)</f>
        <v>0</v>
      </c>
      <c r="G27" s="4" t="n">
        <f aca="false">IF(Assumptions!$B$3="Base",'Base forecast'!G27,'Downside forecast'!G27)</f>
        <v>0</v>
      </c>
      <c r="H27" s="4" t="n">
        <f aca="false">IF(Assumptions!$B$3="Base",'Base forecast'!H27,'Downside forecast'!H27)</f>
        <v>0</v>
      </c>
      <c r="I27" s="4" t="n">
        <f aca="false">IF(Assumptions!$B$3="Base",'Base forecast'!I27,'Downside forecast'!I27)</f>
        <v>0</v>
      </c>
      <c r="J27" s="4" t="n">
        <f aca="false">IF(Assumptions!$B$3="Base",'Base forecast'!J27,'Downside forecast'!J27)</f>
        <v>0</v>
      </c>
      <c r="K27" s="4" t="n">
        <f aca="false">IF(Assumptions!$B$3="Base",'Base forecast'!K27,'Downside forecast'!K27)</f>
        <v>0</v>
      </c>
      <c r="L27" s="4" t="n">
        <f aca="false">IF(Assumptions!$B$3="Base",'Base forecast'!L27,'Downside forecast'!L27)</f>
        <v>0</v>
      </c>
      <c r="M27" s="4" t="n">
        <f aca="false">IF(Assumptions!$B$3="Base",'Base forecast'!M27,'Downside forecast'!M27)</f>
        <v>0</v>
      </c>
    </row>
    <row r="28" customFormat="false" ht="15" hidden="false" customHeight="true" outlineLevel="0" collapsed="false">
      <c r="A28" s="3" t="s">
        <v>65</v>
      </c>
      <c r="B28" s="4" t="n">
        <f aca="false">IF(Assumptions!$B$3="Base",'Base forecast'!B28,'Downside forecast'!B28)</f>
        <v>0</v>
      </c>
      <c r="C28" s="4" t="n">
        <f aca="false">IF(Assumptions!$B$3="Base",'Base forecast'!C28,'Downside forecast'!C28)</f>
        <v>0</v>
      </c>
      <c r="D28" s="4" t="n">
        <f aca="false">IF(Assumptions!$B$3="Base",'Base forecast'!D28,'Downside forecast'!D28)</f>
        <v>0</v>
      </c>
      <c r="E28" s="4" t="n">
        <f aca="false">IF(Assumptions!$B$3="Base",'Base forecast'!E28,'Downside forecast'!E28)</f>
        <v>0</v>
      </c>
      <c r="F28" s="4" t="n">
        <f aca="false">IF(Assumptions!$B$3="Base",'Base forecast'!F28,'Downside forecast'!F28)</f>
        <v>0</v>
      </c>
      <c r="G28" s="4" t="n">
        <f aca="false">IF(Assumptions!$B$3="Base",'Base forecast'!G28,'Downside forecast'!G28)</f>
        <v>0</v>
      </c>
      <c r="H28" s="4" t="n">
        <f aca="false">IF(Assumptions!$B$3="Base",'Base forecast'!H28,'Downside forecast'!H28)</f>
        <v>0</v>
      </c>
      <c r="I28" s="4" t="n">
        <f aca="false">IF(Assumptions!$B$3="Base",'Base forecast'!I28,'Downside forecast'!I28)</f>
        <v>0</v>
      </c>
      <c r="J28" s="4" t="n">
        <f aca="false">IF(Assumptions!$B$3="Base",'Base forecast'!J28,'Downside forecast'!J28)</f>
        <v>0</v>
      </c>
      <c r="K28" s="4" t="n">
        <f aca="false">IF(Assumptions!$B$3="Base",'Base forecast'!K28,'Downside forecast'!K28)</f>
        <v>0</v>
      </c>
      <c r="L28" s="4" t="n">
        <f aca="false">IF(Assumptions!$B$3="Base",'Base forecast'!L28,'Downside forecast'!L28)</f>
        <v>0</v>
      </c>
      <c r="M28" s="4" t="n">
        <f aca="false">IF(Assumptions!$B$3="Base",'Base forecast'!M28,'Downside forecast'!M28)</f>
        <v>0</v>
      </c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customFormat="false" ht="15" hidden="false" customHeight="true" outlineLevel="0" collapsed="false">
      <c r="A31" s="3" t="s">
        <v>66</v>
      </c>
      <c r="B31" s="6" t="str">
        <f aca="false">IF(COUNT(B26:M26)&lt;&gt;12,"Unknown",IF(SUM(B27:M27)=0,"None in horizon",INDEX(B4:M4,1,MATCH(1,B27:M27,0))))</f>
        <v>None in horizon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3"/>
    <col collapsed="false" customWidth="true" hidden="false" outlineLevel="0" max="13" min="2" style="1" width="17"/>
  </cols>
  <sheetData>
    <row r="1" customFormat="false" ht="27.75" hidden="false" customHeight="true" outlineLevel="0" collapsed="false">
      <c r="A1" s="2" t="s">
        <v>67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</row>
    <row r="3" customFormat="false" ht="15" hidden="false" customHeight="true" outlineLevel="0" collapsed="false">
      <c r="A3" s="3" t="s">
        <v>68</v>
      </c>
      <c r="B3" s="4" t="n">
        <f aca="false">IF(Assumptions!B3="Base",Assumptions!B9,Assumptions!C9)</f>
        <v>49</v>
      </c>
      <c r="C3" s="3"/>
      <c r="D3" s="3"/>
      <c r="E3" s="3"/>
      <c r="F3" s="3"/>
    </row>
    <row r="4" customFormat="false" ht="15" hidden="false" customHeight="true" outlineLevel="0" collapsed="false">
      <c r="A4" s="3" t="s">
        <v>69</v>
      </c>
      <c r="B4" s="4" t="n">
        <f aca="false">IF(Assumptions!B3="Base",Assumptions!B10,Assumptions!C10)</f>
        <v>100</v>
      </c>
      <c r="C4" s="3"/>
      <c r="D4" s="3"/>
      <c r="E4" s="3"/>
      <c r="F4" s="3"/>
    </row>
    <row r="5" customFormat="false" ht="15" hidden="false" customHeight="true" outlineLevel="0" collapsed="false">
      <c r="A5" s="3" t="s">
        <v>70</v>
      </c>
      <c r="B5" s="4" t="n">
        <f aca="false">IF(Assumptions!B3="Base",Assumptions!B16,Assumptions!C16)</f>
        <v>0.03</v>
      </c>
      <c r="C5" s="3"/>
      <c r="D5" s="3"/>
      <c r="E5" s="3"/>
      <c r="F5" s="3"/>
    </row>
    <row r="6" customFormat="false" ht="15" hidden="false" customHeight="true" outlineLevel="0" collapsed="false">
      <c r="A6" s="3" t="s">
        <v>71</v>
      </c>
      <c r="B6" s="4" t="n">
        <f aca="false">IF(Assumptions!B3="Base",Assumptions!B17,Assumptions!C17)</f>
        <v>0.3</v>
      </c>
      <c r="C6" s="3"/>
      <c r="D6" s="3"/>
      <c r="E6" s="3"/>
      <c r="F6" s="3"/>
    </row>
    <row r="7" customFormat="false" ht="15" hidden="false" customHeight="true" outlineLevel="0" collapsed="false">
      <c r="A7" s="3" t="s">
        <v>72</v>
      </c>
      <c r="B7" s="4" t="n">
        <f aca="false">IF(Assumptions!B3="Base",Assumptions!B22,Assumptions!C22)</f>
        <v>0.7</v>
      </c>
      <c r="C7" s="3"/>
      <c r="D7" s="3"/>
      <c r="E7" s="3"/>
      <c r="F7" s="3"/>
    </row>
    <row r="8" customFormat="false" ht="15" hidden="false" customHeight="true" outlineLevel="0" collapsed="false">
      <c r="A8" s="3" t="s">
        <v>73</v>
      </c>
      <c r="B8" s="4" t="n">
        <f aca="false">IF(Assumptions!B3="Base",SUM(Assumptions!B13:B15),SUM(Assumptions!C13:C15))</f>
        <v>0.08</v>
      </c>
      <c r="C8" s="3"/>
      <c r="D8" s="3"/>
      <c r="E8" s="3"/>
      <c r="F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</row>
    <row r="10" customFormat="false" ht="15" hidden="false" customHeight="true" outlineLevel="0" collapsed="false">
      <c r="A10" s="3" t="s">
        <v>74</v>
      </c>
      <c r="B10" s="5" t="n">
        <f aca="false">(B3*(1-B5)-B6-B4*B8)/B3</f>
        <v>0.800612244897959</v>
      </c>
      <c r="C10" s="3"/>
      <c r="D10" s="3"/>
      <c r="E10" s="3"/>
      <c r="F10" s="3"/>
    </row>
    <row r="11" customFormat="false" ht="15" hidden="false" customHeight="true" outlineLevel="0" collapsed="false">
      <c r="A11" s="3" t="s">
        <v>75</v>
      </c>
      <c r="B11" s="13" t="n">
        <f aca="false">(B3*(1-B7-B5)-B6)/B4</f>
        <v>0.1293</v>
      </c>
      <c r="C11" s="3"/>
      <c r="D11" s="3"/>
      <c r="E11" s="3"/>
      <c r="F11" s="3"/>
    </row>
    <row r="12" customFormat="false" ht="15" hidden="false" customHeight="true" outlineLevel="0" collapsed="false">
      <c r="A12" s="3" t="s">
        <v>76</v>
      </c>
      <c r="B12" s="4" t="n">
        <f aca="false">(B4*B8+B6)/(1-B7-B5)</f>
        <v>30.7407407407407</v>
      </c>
      <c r="C12" s="3"/>
      <c r="D12" s="3"/>
      <c r="E12" s="3"/>
      <c r="F12" s="3"/>
    </row>
    <row r="13" customFormat="false" ht="15" hidden="false" customHeight="true" outlineLevel="0" collapsed="false">
      <c r="A13" s="3" t="s">
        <v>77</v>
      </c>
      <c r="B13" s="4" t="n">
        <f aca="false">MAX(0,INT((B3*(1-B7-B5)-B6)/B8))</f>
        <v>161</v>
      </c>
      <c r="C13" s="3"/>
      <c r="D13" s="3"/>
      <c r="E13" s="3"/>
      <c r="F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</row>
    <row r="16" customFormat="false" ht="15" hidden="false" customHeight="true" outlineLevel="0" collapsed="false">
      <c r="A16" s="3" t="s">
        <v>78</v>
      </c>
      <c r="B16" s="3" t="n">
        <v>29</v>
      </c>
      <c r="C16" s="3" t="n">
        <v>49</v>
      </c>
      <c r="D16" s="3" t="n">
        <v>79</v>
      </c>
      <c r="E16" s="3" t="n">
        <v>106.6666666667</v>
      </c>
      <c r="F16" s="3" t="n">
        <v>129</v>
      </c>
    </row>
    <row r="17" customFormat="false" ht="15" hidden="false" customHeight="true" outlineLevel="0" collapsed="false">
      <c r="A17" s="3" t="n">
        <v>0.08</v>
      </c>
      <c r="B17" s="5" t="n">
        <f aca="false">(B$16*(1-$B$5)-$B$6-$B$4*$A17)/B$16</f>
        <v>0.683793103448276</v>
      </c>
      <c r="C17" s="5" t="n">
        <f aca="false">(C$16*(1-$B$5)-$B$6-$B$4*$A17)/C$16</f>
        <v>0.800612244897959</v>
      </c>
      <c r="D17" s="5" t="n">
        <f aca="false">(D$16*(1-$B$5)-$B$6-$B$4*$A17)/D$16</f>
        <v>0.86493670886076</v>
      </c>
      <c r="E17" s="5" t="n">
        <f aca="false">(E$16*(1-$B$5)-$B$6-$B$4*$A17)/E$16</f>
        <v>0.892187500000024</v>
      </c>
      <c r="F17" s="5" t="n">
        <f aca="false">(F$16*(1-$B$5)-$B$6-$B$4*$A17)/F$16</f>
        <v>0.905658914728682</v>
      </c>
    </row>
    <row r="18" customFormat="false" ht="15" hidden="false" customHeight="true" outlineLevel="0" collapsed="false">
      <c r="A18" s="3" t="n">
        <v>0.1293</v>
      </c>
      <c r="B18" s="5" t="n">
        <f aca="false">(B$16*(1-$B$5)-$B$6-$B$4*$A18)/B$16</f>
        <v>0.513793103448276</v>
      </c>
      <c r="C18" s="5" t="n">
        <f aca="false">(C$16*(1-$B$5)-$B$6-$B$4*$A18)/C$16</f>
        <v>0.7</v>
      </c>
      <c r="D18" s="5" t="n">
        <f aca="false">(D$16*(1-$B$5)-$B$6-$B$4*$A18)/D$16</f>
        <v>0.80253164556962</v>
      </c>
      <c r="E18" s="5" t="n">
        <f aca="false">(E$16*(1-$B$5)-$B$6-$B$4*$A18)/E$16</f>
        <v>0.845968750000039</v>
      </c>
      <c r="F18" s="5" t="n">
        <f aca="false">(F$16*(1-$B$5)-$B$6-$B$4*$A18)/F$16</f>
        <v>0.867441860465116</v>
      </c>
    </row>
    <row r="19" customFormat="false" ht="15" hidden="false" customHeight="true" outlineLevel="0" collapsed="false">
      <c r="A19" s="3" t="n">
        <v>0.285</v>
      </c>
      <c r="B19" s="5" t="n">
        <f aca="false">(B$16*(1-$B$5)-$B$6-$B$4*$A19)/B$16</f>
        <v>-0.023103448275862</v>
      </c>
      <c r="C19" s="5" t="n">
        <f aca="false">(C$16*(1-$B$5)-$B$6-$B$4*$A19)/C$16</f>
        <v>0.382244897959184</v>
      </c>
      <c r="D19" s="5" t="n">
        <f aca="false">(D$16*(1-$B$5)-$B$6-$B$4*$A19)/D$16</f>
        <v>0.605443037974684</v>
      </c>
      <c r="E19" s="5" t="n">
        <f aca="false">(E$16*(1-$B$5)-$B$6-$B$4*$A19)/E$16</f>
        <v>0.700000000000084</v>
      </c>
      <c r="F19" s="5" t="n">
        <f aca="false">(F$16*(1-$B$5)-$B$6-$B$4*$A19)/F$16</f>
        <v>0.746744186046512</v>
      </c>
    </row>
    <row r="20" customFormat="false" ht="15" hidden="false" customHeight="true" outlineLevel="0" collapsed="false">
      <c r="A20" s="3" t="n">
        <v>0.5</v>
      </c>
      <c r="B20" s="5" t="n">
        <f aca="false">(B$16*(1-$B$5)-$B$6-$B$4*$A20)/B$16</f>
        <v>-0.76448275862069</v>
      </c>
      <c r="C20" s="5" t="n">
        <f aca="false">(C$16*(1-$B$5)-$B$6-$B$4*$A20)/C$16</f>
        <v>-0.0565306122448979</v>
      </c>
      <c r="D20" s="5" t="n">
        <f aca="false">(D$16*(1-$B$5)-$B$6-$B$4*$A20)/D$16</f>
        <v>0.333291139240506</v>
      </c>
      <c r="E20" s="5" t="n">
        <f aca="false">(E$16*(1-$B$5)-$B$6-$B$4*$A20)/E$16</f>
        <v>0.498437500000147</v>
      </c>
      <c r="F20" s="5" t="n">
        <f aca="false">(F$16*(1-$B$5)-$B$6-$B$4*$A20)/F$16</f>
        <v>0.580077519379845</v>
      </c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</row>
    <row r="23" customFormat="false" ht="36" hidden="false" customHeight="true" outlineLevel="0" collapsed="false">
      <c r="A23" s="7" t="s">
        <v>79</v>
      </c>
      <c r="B23" s="7"/>
      <c r="C23" s="7"/>
      <c r="D23" s="7"/>
      <c r="E23" s="7"/>
      <c r="F23" s="7"/>
    </row>
    <row r="24" customFormat="false" ht="36" hidden="false" customHeight="true" outlineLevel="0" collapsed="false">
      <c r="A24" s="7" t="s">
        <v>80</v>
      </c>
      <c r="B24" s="7"/>
      <c r="C24" s="7"/>
      <c r="D24" s="7"/>
      <c r="E24" s="7"/>
      <c r="F24" s="7"/>
    </row>
  </sheetData>
  <mergeCells count="2"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3"/>
    <col collapsed="false" customWidth="true" hidden="false" outlineLevel="0" max="8" min="2" style="1" width="17"/>
    <col collapsed="false" customWidth="true" hidden="false" outlineLevel="0" max="9" min="9" style="1" width="35"/>
    <col collapsed="false" customWidth="true" hidden="false" outlineLevel="0" max="10" min="10" style="1" width="30"/>
    <col collapsed="false" customWidth="true" hidden="false" outlineLevel="0" max="13" min="11" style="1" width="17"/>
  </cols>
  <sheetData>
    <row r="1" customFormat="false" ht="27.75" hidden="false" customHeight="true" outlineLevel="0" collapsed="false">
      <c r="A1" s="2" t="s">
        <v>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3" t="s">
        <v>82</v>
      </c>
      <c r="B3" s="12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true" outlineLevel="0" collapsed="false">
      <c r="A4" s="3" t="s">
        <v>83</v>
      </c>
      <c r="B4" s="4" t="n">
        <f aca="false">SUM(L13:L212)</f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true" outlineLevel="0" collapsed="false">
      <c r="A5" s="3" t="s">
        <v>84</v>
      </c>
      <c r="B5" s="4" t="n">
        <f aca="false">SUM(M13:M212)</f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5" hidden="false" customHeight="true" outlineLevel="0" collapsed="false">
      <c r="A6" s="3" t="s">
        <v>85</v>
      </c>
      <c r="B6" s="4" t="str">
        <f aca="false">IF(ISNUMBER(B3),MAX(0,B3-B4),"Unknown")</f>
        <v>Unknown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15" hidden="false" customHeight="true" outlineLevel="0" collapsed="false">
      <c r="A7" s="3" t="s">
        <v>86</v>
      </c>
      <c r="B7" s="4" t="str">
        <f aca="false">IF(OR(NOT(ISNUMBER(B3)),B3&lt;&gt;B4,B4=0,B5&gt;0),"Unknown",SUM(F13:F212)/B4)</f>
        <v>Unknown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customFormat="false" ht="15" hidden="false" customHeight="true" outlineLevel="0" collapsed="false">
      <c r="A8" s="3" t="s">
        <v>87</v>
      </c>
      <c r="B8" s="4" t="str">
        <f aca="false">IF(ISNUMBER(B7),"Measured","Unknown")</f>
        <v>Unknown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customFormat="false" ht="15" hidden="false" customHeight="true" outlineLevel="0" collapsed="false">
      <c r="A9" s="3" t="s">
        <v>88</v>
      </c>
      <c r="B9" s="4" t="str">
        <f aca="false">Assumptions!B4</f>
        <v>Planning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5" hidden="false" customHeight="true" outlineLevel="0" collapsed="false">
      <c r="A12" s="3" t="s">
        <v>89</v>
      </c>
      <c r="B12" s="3" t="s">
        <v>90</v>
      </c>
      <c r="C12" s="3" t="s">
        <v>91</v>
      </c>
      <c r="D12" s="3" t="s">
        <v>92</v>
      </c>
      <c r="E12" s="3" t="s">
        <v>93</v>
      </c>
      <c r="F12" s="3" t="s">
        <v>94</v>
      </c>
      <c r="G12" s="3" t="s">
        <v>95</v>
      </c>
      <c r="H12" s="3" t="s">
        <v>96</v>
      </c>
      <c r="I12" s="3" t="s">
        <v>97</v>
      </c>
      <c r="J12" s="3" t="s">
        <v>98</v>
      </c>
      <c r="K12" s="3" t="s">
        <v>99</v>
      </c>
      <c r="L12" s="3" t="s">
        <v>100</v>
      </c>
      <c r="M12" s="3" t="s">
        <v>101</v>
      </c>
    </row>
    <row r="13" customFormat="false" ht="15" hidden="false" customHeight="true" outlineLevel="0" collapsed="false">
      <c r="A13" s="12"/>
      <c r="B13" s="14"/>
      <c r="C13" s="12"/>
      <c r="D13" s="12"/>
      <c r="E13" s="12"/>
      <c r="F13" s="15"/>
      <c r="G13" s="12"/>
      <c r="H13" s="12"/>
      <c r="I13" s="12"/>
      <c r="J13" s="12"/>
      <c r="K13" s="4" t="n">
        <f aca="false">IF(COUNTA(A13:J13)=0,0,IF(A13="",0,COUNTIF($A$13:$A$212,A13)))</f>
        <v>0</v>
      </c>
      <c r="L13" s="4" t="n">
        <f aca="false">IF(COUNTA(A13:J13)=0,0,1)</f>
        <v>0</v>
      </c>
      <c r="M13" s="4" t="n">
        <f aca="false">IF(L13=0,0,IF(OR(A13="",NOT(ISNUMBER(B13)),C13="",NOT(ISNUMBER(F13)),F13&lt;0,J13="",K13&lt;&gt;1),1,0))</f>
        <v>0</v>
      </c>
    </row>
    <row r="14" customFormat="false" ht="15" hidden="false" customHeight="true" outlineLevel="0" collapsed="false">
      <c r="A14" s="12"/>
      <c r="B14" s="14"/>
      <c r="C14" s="12"/>
      <c r="D14" s="12"/>
      <c r="E14" s="12"/>
      <c r="F14" s="15"/>
      <c r="G14" s="12"/>
      <c r="H14" s="12"/>
      <c r="I14" s="12"/>
      <c r="J14" s="12"/>
      <c r="K14" s="4" t="n">
        <f aca="false">IF(COUNTA(A14:J14)=0,0,IF(A14="",0,COUNTIF($A$13:$A$212,A14)))</f>
        <v>0</v>
      </c>
      <c r="L14" s="4" t="n">
        <f aca="false">IF(COUNTA(A14:J14)=0,0,1)</f>
        <v>0</v>
      </c>
      <c r="M14" s="4" t="n">
        <f aca="false">IF(L14=0,0,IF(OR(A14="",NOT(ISNUMBER(B14)),C14="",NOT(ISNUMBER(F14)),F14&lt;0,J14="",K14&lt;&gt;1),1,0))</f>
        <v>0</v>
      </c>
    </row>
    <row r="15" customFormat="false" ht="15" hidden="false" customHeight="true" outlineLevel="0" collapsed="false">
      <c r="A15" s="12"/>
      <c r="B15" s="14"/>
      <c r="C15" s="12"/>
      <c r="D15" s="12"/>
      <c r="E15" s="12"/>
      <c r="F15" s="15"/>
      <c r="G15" s="12"/>
      <c r="H15" s="12"/>
      <c r="I15" s="12"/>
      <c r="J15" s="12"/>
      <c r="K15" s="4" t="n">
        <f aca="false">IF(COUNTA(A15:J15)=0,0,IF(A15="",0,COUNTIF($A$13:$A$212,A15)))</f>
        <v>0</v>
      </c>
      <c r="L15" s="4" t="n">
        <f aca="false">IF(COUNTA(A15:J15)=0,0,1)</f>
        <v>0</v>
      </c>
      <c r="M15" s="4" t="n">
        <f aca="false">IF(L15=0,0,IF(OR(A15="",NOT(ISNUMBER(B15)),C15="",NOT(ISNUMBER(F15)),F15&lt;0,J15="",K15&lt;&gt;1),1,0))</f>
        <v>0</v>
      </c>
    </row>
    <row r="16" customFormat="false" ht="15" hidden="false" customHeight="true" outlineLevel="0" collapsed="false">
      <c r="A16" s="12"/>
      <c r="B16" s="14"/>
      <c r="C16" s="12"/>
      <c r="D16" s="12"/>
      <c r="E16" s="12"/>
      <c r="F16" s="15"/>
      <c r="G16" s="12"/>
      <c r="H16" s="12"/>
      <c r="I16" s="12"/>
      <c r="J16" s="12"/>
      <c r="K16" s="4" t="n">
        <f aca="false">IF(COUNTA(A16:J16)=0,0,IF(A16="",0,COUNTIF($A$13:$A$212,A16)))</f>
        <v>0</v>
      </c>
      <c r="L16" s="4" t="n">
        <f aca="false">IF(COUNTA(A16:J16)=0,0,1)</f>
        <v>0</v>
      </c>
      <c r="M16" s="4" t="n">
        <f aca="false">IF(L16=0,0,IF(OR(A16="",NOT(ISNUMBER(B16)),C16="",NOT(ISNUMBER(F16)),F16&lt;0,J16="",K16&lt;&gt;1),1,0))</f>
        <v>0</v>
      </c>
    </row>
    <row r="17" customFormat="false" ht="15" hidden="false" customHeight="true" outlineLevel="0" collapsed="false">
      <c r="A17" s="12"/>
      <c r="B17" s="14"/>
      <c r="C17" s="12"/>
      <c r="D17" s="12"/>
      <c r="E17" s="12"/>
      <c r="F17" s="15"/>
      <c r="G17" s="12"/>
      <c r="H17" s="12"/>
      <c r="I17" s="12"/>
      <c r="J17" s="12"/>
      <c r="K17" s="4" t="n">
        <f aca="false">IF(COUNTA(A17:J17)=0,0,IF(A17="",0,COUNTIF($A$13:$A$212,A17)))</f>
        <v>0</v>
      </c>
      <c r="L17" s="4" t="n">
        <f aca="false">IF(COUNTA(A17:J17)=0,0,1)</f>
        <v>0</v>
      </c>
      <c r="M17" s="4" t="n">
        <f aca="false">IF(L17=0,0,IF(OR(A17="",NOT(ISNUMBER(B17)),C17="",NOT(ISNUMBER(F17)),F17&lt;0,J17="",K17&lt;&gt;1),1,0))</f>
        <v>0</v>
      </c>
    </row>
    <row r="18" customFormat="false" ht="15" hidden="false" customHeight="true" outlineLevel="0" collapsed="false">
      <c r="A18" s="12"/>
      <c r="B18" s="14"/>
      <c r="C18" s="12"/>
      <c r="D18" s="12"/>
      <c r="E18" s="12"/>
      <c r="F18" s="15"/>
      <c r="G18" s="12"/>
      <c r="H18" s="12"/>
      <c r="I18" s="12"/>
      <c r="J18" s="12"/>
      <c r="K18" s="4" t="n">
        <f aca="false">IF(COUNTA(A18:J18)=0,0,IF(A18="",0,COUNTIF($A$13:$A$212,A18)))</f>
        <v>0</v>
      </c>
      <c r="L18" s="4" t="n">
        <f aca="false">IF(COUNTA(A18:J18)=0,0,1)</f>
        <v>0</v>
      </c>
      <c r="M18" s="4" t="n">
        <f aca="false">IF(L18=0,0,IF(OR(A18="",NOT(ISNUMBER(B18)),C18="",NOT(ISNUMBER(F18)),F18&lt;0,J18="",K18&lt;&gt;1),1,0))</f>
        <v>0</v>
      </c>
    </row>
    <row r="19" customFormat="false" ht="15" hidden="false" customHeight="true" outlineLevel="0" collapsed="false">
      <c r="A19" s="12"/>
      <c r="B19" s="14"/>
      <c r="C19" s="12"/>
      <c r="D19" s="12"/>
      <c r="E19" s="12"/>
      <c r="F19" s="15"/>
      <c r="G19" s="12"/>
      <c r="H19" s="12"/>
      <c r="I19" s="12"/>
      <c r="J19" s="12"/>
      <c r="K19" s="4" t="n">
        <f aca="false">IF(COUNTA(A19:J19)=0,0,IF(A19="",0,COUNTIF($A$13:$A$212,A19)))</f>
        <v>0</v>
      </c>
      <c r="L19" s="4" t="n">
        <f aca="false">IF(COUNTA(A19:J19)=0,0,1)</f>
        <v>0</v>
      </c>
      <c r="M19" s="4" t="n">
        <f aca="false">IF(L19=0,0,IF(OR(A19="",NOT(ISNUMBER(B19)),C19="",NOT(ISNUMBER(F19)),F19&lt;0,J19="",K19&lt;&gt;1),1,0))</f>
        <v>0</v>
      </c>
    </row>
    <row r="20" customFormat="false" ht="15" hidden="false" customHeight="true" outlineLevel="0" collapsed="false">
      <c r="A20" s="12"/>
      <c r="B20" s="14"/>
      <c r="C20" s="12"/>
      <c r="D20" s="12"/>
      <c r="E20" s="12"/>
      <c r="F20" s="15"/>
      <c r="G20" s="12"/>
      <c r="H20" s="12"/>
      <c r="I20" s="12"/>
      <c r="J20" s="12"/>
      <c r="K20" s="4" t="n">
        <f aca="false">IF(COUNTA(A20:J20)=0,0,IF(A20="",0,COUNTIF($A$13:$A$212,A20)))</f>
        <v>0</v>
      </c>
      <c r="L20" s="4" t="n">
        <f aca="false">IF(COUNTA(A20:J20)=0,0,1)</f>
        <v>0</v>
      </c>
      <c r="M20" s="4" t="n">
        <f aca="false">IF(L20=0,0,IF(OR(A20="",NOT(ISNUMBER(B20)),C20="",NOT(ISNUMBER(F20)),F20&lt;0,J20="",K20&lt;&gt;1),1,0))</f>
        <v>0</v>
      </c>
    </row>
    <row r="21" customFormat="false" ht="15" hidden="false" customHeight="true" outlineLevel="0" collapsed="false">
      <c r="A21" s="12"/>
      <c r="B21" s="14"/>
      <c r="C21" s="12"/>
      <c r="D21" s="12"/>
      <c r="E21" s="12"/>
      <c r="F21" s="15"/>
      <c r="G21" s="12"/>
      <c r="H21" s="12"/>
      <c r="I21" s="12"/>
      <c r="J21" s="12"/>
      <c r="K21" s="4" t="n">
        <f aca="false">IF(COUNTA(A21:J21)=0,0,IF(A21="",0,COUNTIF($A$13:$A$212,A21)))</f>
        <v>0</v>
      </c>
      <c r="L21" s="4" t="n">
        <f aca="false">IF(COUNTA(A21:J21)=0,0,1)</f>
        <v>0</v>
      </c>
      <c r="M21" s="4" t="n">
        <f aca="false">IF(L21=0,0,IF(OR(A21="",NOT(ISNUMBER(B21)),C21="",NOT(ISNUMBER(F21)),F21&lt;0,J21="",K21&lt;&gt;1),1,0))</f>
        <v>0</v>
      </c>
    </row>
    <row r="22" customFormat="false" ht="15" hidden="false" customHeight="true" outlineLevel="0" collapsed="false">
      <c r="A22" s="12"/>
      <c r="B22" s="14"/>
      <c r="C22" s="12"/>
      <c r="D22" s="12"/>
      <c r="E22" s="12"/>
      <c r="F22" s="15"/>
      <c r="G22" s="12"/>
      <c r="H22" s="12"/>
      <c r="I22" s="12"/>
      <c r="J22" s="12"/>
      <c r="K22" s="4" t="n">
        <f aca="false">IF(COUNTA(A22:J22)=0,0,IF(A22="",0,COUNTIF($A$13:$A$212,A22)))</f>
        <v>0</v>
      </c>
      <c r="L22" s="4" t="n">
        <f aca="false">IF(COUNTA(A22:J22)=0,0,1)</f>
        <v>0</v>
      </c>
      <c r="M22" s="4" t="n">
        <f aca="false">IF(L22=0,0,IF(OR(A22="",NOT(ISNUMBER(B22)),C22="",NOT(ISNUMBER(F22)),F22&lt;0,J22="",K22&lt;&gt;1),1,0))</f>
        <v>0</v>
      </c>
    </row>
    <row r="23" customFormat="false" ht="15" hidden="false" customHeight="true" outlineLevel="0" collapsed="false">
      <c r="A23" s="12"/>
      <c r="B23" s="14"/>
      <c r="C23" s="12"/>
      <c r="D23" s="12"/>
      <c r="E23" s="12"/>
      <c r="F23" s="15"/>
      <c r="G23" s="12"/>
      <c r="H23" s="12"/>
      <c r="I23" s="12"/>
      <c r="J23" s="12"/>
      <c r="K23" s="4" t="n">
        <f aca="false">IF(COUNTA(A23:J23)=0,0,IF(A23="",0,COUNTIF($A$13:$A$212,A23)))</f>
        <v>0</v>
      </c>
      <c r="L23" s="4" t="n">
        <f aca="false">IF(COUNTA(A23:J23)=0,0,1)</f>
        <v>0</v>
      </c>
      <c r="M23" s="4" t="n">
        <f aca="false">IF(L23=0,0,IF(OR(A23="",NOT(ISNUMBER(B23)),C23="",NOT(ISNUMBER(F23)),F23&lt;0,J23="",K23&lt;&gt;1),1,0))</f>
        <v>0</v>
      </c>
    </row>
    <row r="24" customFormat="false" ht="15" hidden="false" customHeight="true" outlineLevel="0" collapsed="false">
      <c r="A24" s="12"/>
      <c r="B24" s="14"/>
      <c r="C24" s="12"/>
      <c r="D24" s="12"/>
      <c r="E24" s="12"/>
      <c r="F24" s="15"/>
      <c r="G24" s="12"/>
      <c r="H24" s="12"/>
      <c r="I24" s="12"/>
      <c r="J24" s="12"/>
      <c r="K24" s="4" t="n">
        <f aca="false">IF(COUNTA(A24:J24)=0,0,IF(A24="",0,COUNTIF($A$13:$A$212,A24)))</f>
        <v>0</v>
      </c>
      <c r="L24" s="4" t="n">
        <f aca="false">IF(COUNTA(A24:J24)=0,0,1)</f>
        <v>0</v>
      </c>
      <c r="M24" s="4" t="n">
        <f aca="false">IF(L24=0,0,IF(OR(A24="",NOT(ISNUMBER(B24)),C24="",NOT(ISNUMBER(F24)),F24&lt;0,J24="",K24&lt;&gt;1),1,0))</f>
        <v>0</v>
      </c>
    </row>
    <row r="25" customFormat="false" ht="15" hidden="false" customHeight="true" outlineLevel="0" collapsed="false">
      <c r="A25" s="12"/>
      <c r="B25" s="14"/>
      <c r="C25" s="12"/>
      <c r="D25" s="12"/>
      <c r="E25" s="12"/>
      <c r="F25" s="15"/>
      <c r="G25" s="12"/>
      <c r="H25" s="12"/>
      <c r="I25" s="12"/>
      <c r="J25" s="12"/>
      <c r="K25" s="4" t="n">
        <f aca="false">IF(COUNTA(A25:J25)=0,0,IF(A25="",0,COUNTIF($A$13:$A$212,A25)))</f>
        <v>0</v>
      </c>
      <c r="L25" s="4" t="n">
        <f aca="false">IF(COUNTA(A25:J25)=0,0,1)</f>
        <v>0</v>
      </c>
      <c r="M25" s="4" t="n">
        <f aca="false">IF(L25=0,0,IF(OR(A25="",NOT(ISNUMBER(B25)),C25="",NOT(ISNUMBER(F25)),F25&lt;0,J25="",K25&lt;&gt;1),1,0))</f>
        <v>0</v>
      </c>
    </row>
    <row r="26" customFormat="false" ht="15" hidden="false" customHeight="true" outlineLevel="0" collapsed="false">
      <c r="A26" s="12"/>
      <c r="B26" s="14"/>
      <c r="C26" s="12"/>
      <c r="D26" s="12"/>
      <c r="E26" s="12"/>
      <c r="F26" s="15"/>
      <c r="G26" s="12"/>
      <c r="H26" s="12"/>
      <c r="I26" s="12"/>
      <c r="J26" s="12"/>
      <c r="K26" s="4" t="n">
        <f aca="false">IF(COUNTA(A26:J26)=0,0,IF(A26="",0,COUNTIF($A$13:$A$212,A26)))</f>
        <v>0</v>
      </c>
      <c r="L26" s="4" t="n">
        <f aca="false">IF(COUNTA(A26:J26)=0,0,1)</f>
        <v>0</v>
      </c>
      <c r="M26" s="4" t="n">
        <f aca="false">IF(L26=0,0,IF(OR(A26="",NOT(ISNUMBER(B26)),C26="",NOT(ISNUMBER(F26)),F26&lt;0,J26="",K26&lt;&gt;1),1,0))</f>
        <v>0</v>
      </c>
    </row>
    <row r="27" customFormat="false" ht="15" hidden="false" customHeight="true" outlineLevel="0" collapsed="false">
      <c r="A27" s="12"/>
      <c r="B27" s="14"/>
      <c r="C27" s="12"/>
      <c r="D27" s="12"/>
      <c r="E27" s="12"/>
      <c r="F27" s="15"/>
      <c r="G27" s="12"/>
      <c r="H27" s="12"/>
      <c r="I27" s="12"/>
      <c r="J27" s="12"/>
      <c r="K27" s="4" t="n">
        <f aca="false">IF(COUNTA(A27:J27)=0,0,IF(A27="",0,COUNTIF($A$13:$A$212,A27)))</f>
        <v>0</v>
      </c>
      <c r="L27" s="4" t="n">
        <f aca="false">IF(COUNTA(A27:J27)=0,0,1)</f>
        <v>0</v>
      </c>
      <c r="M27" s="4" t="n">
        <f aca="false">IF(L27=0,0,IF(OR(A27="",NOT(ISNUMBER(B27)),C27="",NOT(ISNUMBER(F27)),F27&lt;0,J27="",K27&lt;&gt;1),1,0))</f>
        <v>0</v>
      </c>
    </row>
    <row r="28" customFormat="false" ht="15" hidden="false" customHeight="true" outlineLevel="0" collapsed="false">
      <c r="A28" s="12"/>
      <c r="B28" s="14"/>
      <c r="C28" s="12"/>
      <c r="D28" s="12"/>
      <c r="E28" s="12"/>
      <c r="F28" s="15"/>
      <c r="G28" s="12"/>
      <c r="H28" s="12"/>
      <c r="I28" s="12"/>
      <c r="J28" s="12"/>
      <c r="K28" s="4" t="n">
        <f aca="false">IF(COUNTA(A28:J28)=0,0,IF(A28="",0,COUNTIF($A$13:$A$212,A28)))</f>
        <v>0</v>
      </c>
      <c r="L28" s="4" t="n">
        <f aca="false">IF(COUNTA(A28:J28)=0,0,1)</f>
        <v>0</v>
      </c>
      <c r="M28" s="4" t="n">
        <f aca="false">IF(L28=0,0,IF(OR(A28="",NOT(ISNUMBER(B28)),C28="",NOT(ISNUMBER(F28)),F28&lt;0,J28="",K28&lt;&gt;1),1,0))</f>
        <v>0</v>
      </c>
    </row>
    <row r="29" customFormat="false" ht="15" hidden="false" customHeight="true" outlineLevel="0" collapsed="false">
      <c r="A29" s="12"/>
      <c r="B29" s="14"/>
      <c r="C29" s="12"/>
      <c r="D29" s="12"/>
      <c r="E29" s="12"/>
      <c r="F29" s="15"/>
      <c r="G29" s="12"/>
      <c r="H29" s="12"/>
      <c r="I29" s="12"/>
      <c r="J29" s="12"/>
      <c r="K29" s="4" t="n">
        <f aca="false">IF(COUNTA(A29:J29)=0,0,IF(A29="",0,COUNTIF($A$13:$A$212,A29)))</f>
        <v>0</v>
      </c>
      <c r="L29" s="4" t="n">
        <f aca="false">IF(COUNTA(A29:J29)=0,0,1)</f>
        <v>0</v>
      </c>
      <c r="M29" s="4" t="n">
        <f aca="false">IF(L29=0,0,IF(OR(A29="",NOT(ISNUMBER(B29)),C29="",NOT(ISNUMBER(F29)),F29&lt;0,J29="",K29&lt;&gt;1),1,0))</f>
        <v>0</v>
      </c>
    </row>
    <row r="30" customFormat="false" ht="15" hidden="false" customHeight="true" outlineLevel="0" collapsed="false">
      <c r="A30" s="12"/>
      <c r="B30" s="14"/>
      <c r="C30" s="12"/>
      <c r="D30" s="12"/>
      <c r="E30" s="12"/>
      <c r="F30" s="15"/>
      <c r="G30" s="12"/>
      <c r="H30" s="12"/>
      <c r="I30" s="12"/>
      <c r="J30" s="12"/>
      <c r="K30" s="4" t="n">
        <f aca="false">IF(COUNTA(A30:J30)=0,0,IF(A30="",0,COUNTIF($A$13:$A$212,A30)))</f>
        <v>0</v>
      </c>
      <c r="L30" s="4" t="n">
        <f aca="false">IF(COUNTA(A30:J30)=0,0,1)</f>
        <v>0</v>
      </c>
      <c r="M30" s="4" t="n">
        <f aca="false">IF(L30=0,0,IF(OR(A30="",NOT(ISNUMBER(B30)),C30="",NOT(ISNUMBER(F30)),F30&lt;0,J30="",K30&lt;&gt;1),1,0))</f>
        <v>0</v>
      </c>
    </row>
    <row r="31" customFormat="false" ht="15" hidden="false" customHeight="true" outlineLevel="0" collapsed="false">
      <c r="A31" s="12"/>
      <c r="B31" s="14"/>
      <c r="C31" s="12"/>
      <c r="D31" s="12"/>
      <c r="E31" s="12"/>
      <c r="F31" s="15"/>
      <c r="G31" s="12"/>
      <c r="H31" s="12"/>
      <c r="I31" s="12"/>
      <c r="J31" s="12"/>
      <c r="K31" s="4" t="n">
        <f aca="false">IF(COUNTA(A31:J31)=0,0,IF(A31="",0,COUNTIF($A$13:$A$212,A31)))</f>
        <v>0</v>
      </c>
      <c r="L31" s="4" t="n">
        <f aca="false">IF(COUNTA(A31:J31)=0,0,1)</f>
        <v>0</v>
      </c>
      <c r="M31" s="4" t="n">
        <f aca="false">IF(L31=0,0,IF(OR(A31="",NOT(ISNUMBER(B31)),C31="",NOT(ISNUMBER(F31)),F31&lt;0,J31="",K31&lt;&gt;1),1,0))</f>
        <v>0</v>
      </c>
    </row>
    <row r="32" customFormat="false" ht="15" hidden="false" customHeight="true" outlineLevel="0" collapsed="false">
      <c r="A32" s="12"/>
      <c r="B32" s="14"/>
      <c r="C32" s="12"/>
      <c r="D32" s="12"/>
      <c r="E32" s="12"/>
      <c r="F32" s="15"/>
      <c r="G32" s="12"/>
      <c r="H32" s="12"/>
      <c r="I32" s="12"/>
      <c r="J32" s="12"/>
      <c r="K32" s="4" t="n">
        <f aca="false">IF(COUNTA(A32:J32)=0,0,IF(A32="",0,COUNTIF($A$13:$A$212,A32)))</f>
        <v>0</v>
      </c>
      <c r="L32" s="4" t="n">
        <f aca="false">IF(COUNTA(A32:J32)=0,0,1)</f>
        <v>0</v>
      </c>
      <c r="M32" s="4" t="n">
        <f aca="false">IF(L32=0,0,IF(OR(A32="",NOT(ISNUMBER(B32)),C32="",NOT(ISNUMBER(F32)),F32&lt;0,J32="",K32&lt;&gt;1),1,0))</f>
        <v>0</v>
      </c>
    </row>
    <row r="33" customFormat="false" ht="15" hidden="false" customHeight="true" outlineLevel="0" collapsed="false">
      <c r="A33" s="12"/>
      <c r="B33" s="14"/>
      <c r="C33" s="12"/>
      <c r="D33" s="12"/>
      <c r="E33" s="12"/>
      <c r="F33" s="15"/>
      <c r="G33" s="12"/>
      <c r="H33" s="12"/>
      <c r="I33" s="12"/>
      <c r="J33" s="12"/>
      <c r="K33" s="4" t="n">
        <f aca="false">IF(COUNTA(A33:J33)=0,0,IF(A33="",0,COUNTIF($A$13:$A$212,A33)))</f>
        <v>0</v>
      </c>
      <c r="L33" s="4" t="n">
        <f aca="false">IF(COUNTA(A33:J33)=0,0,1)</f>
        <v>0</v>
      </c>
      <c r="M33" s="4" t="n">
        <f aca="false">IF(L33=0,0,IF(OR(A33="",NOT(ISNUMBER(B33)),C33="",NOT(ISNUMBER(F33)),F33&lt;0,J33="",K33&lt;&gt;1),1,0))</f>
        <v>0</v>
      </c>
    </row>
    <row r="34" customFormat="false" ht="15" hidden="false" customHeight="true" outlineLevel="0" collapsed="false">
      <c r="A34" s="12"/>
      <c r="B34" s="14"/>
      <c r="C34" s="12"/>
      <c r="D34" s="12"/>
      <c r="E34" s="12"/>
      <c r="F34" s="15"/>
      <c r="G34" s="12"/>
      <c r="H34" s="12"/>
      <c r="I34" s="12"/>
      <c r="J34" s="12"/>
      <c r="K34" s="4" t="n">
        <f aca="false">IF(COUNTA(A34:J34)=0,0,IF(A34="",0,COUNTIF($A$13:$A$212,A34)))</f>
        <v>0</v>
      </c>
      <c r="L34" s="4" t="n">
        <f aca="false">IF(COUNTA(A34:J34)=0,0,1)</f>
        <v>0</v>
      </c>
      <c r="M34" s="4" t="n">
        <f aca="false">IF(L34=0,0,IF(OR(A34="",NOT(ISNUMBER(B34)),C34="",NOT(ISNUMBER(F34)),F34&lt;0,J34="",K34&lt;&gt;1),1,0))</f>
        <v>0</v>
      </c>
    </row>
    <row r="35" customFormat="false" ht="15" hidden="false" customHeight="true" outlineLevel="0" collapsed="false">
      <c r="A35" s="12"/>
      <c r="B35" s="14"/>
      <c r="C35" s="12"/>
      <c r="D35" s="12"/>
      <c r="E35" s="12"/>
      <c r="F35" s="15"/>
      <c r="G35" s="12"/>
      <c r="H35" s="12"/>
      <c r="I35" s="12"/>
      <c r="J35" s="12"/>
      <c r="K35" s="4" t="n">
        <f aca="false">IF(COUNTA(A35:J35)=0,0,IF(A35="",0,COUNTIF($A$13:$A$212,A35)))</f>
        <v>0</v>
      </c>
      <c r="L35" s="4" t="n">
        <f aca="false">IF(COUNTA(A35:J35)=0,0,1)</f>
        <v>0</v>
      </c>
      <c r="M35" s="4" t="n">
        <f aca="false">IF(L35=0,0,IF(OR(A35="",NOT(ISNUMBER(B35)),C35="",NOT(ISNUMBER(F35)),F35&lt;0,J35="",K35&lt;&gt;1),1,0))</f>
        <v>0</v>
      </c>
    </row>
    <row r="36" customFormat="false" ht="15" hidden="false" customHeight="true" outlineLevel="0" collapsed="false">
      <c r="A36" s="12"/>
      <c r="B36" s="14"/>
      <c r="C36" s="12"/>
      <c r="D36" s="12"/>
      <c r="E36" s="12"/>
      <c r="F36" s="15"/>
      <c r="G36" s="12"/>
      <c r="H36" s="12"/>
      <c r="I36" s="12"/>
      <c r="J36" s="12"/>
      <c r="K36" s="4" t="n">
        <f aca="false">IF(COUNTA(A36:J36)=0,0,IF(A36="",0,COUNTIF($A$13:$A$212,A36)))</f>
        <v>0</v>
      </c>
      <c r="L36" s="4" t="n">
        <f aca="false">IF(COUNTA(A36:J36)=0,0,1)</f>
        <v>0</v>
      </c>
      <c r="M36" s="4" t="n">
        <f aca="false">IF(L36=0,0,IF(OR(A36="",NOT(ISNUMBER(B36)),C36="",NOT(ISNUMBER(F36)),F36&lt;0,J36="",K36&lt;&gt;1),1,0))</f>
        <v>0</v>
      </c>
    </row>
    <row r="37" customFormat="false" ht="15" hidden="false" customHeight="true" outlineLevel="0" collapsed="false">
      <c r="A37" s="12"/>
      <c r="B37" s="14"/>
      <c r="C37" s="12"/>
      <c r="D37" s="12"/>
      <c r="E37" s="12"/>
      <c r="F37" s="15"/>
      <c r="G37" s="12"/>
      <c r="H37" s="12"/>
      <c r="I37" s="12"/>
      <c r="J37" s="12"/>
      <c r="K37" s="4" t="n">
        <f aca="false">IF(COUNTA(A37:J37)=0,0,IF(A37="",0,COUNTIF($A$13:$A$212,A37)))</f>
        <v>0</v>
      </c>
      <c r="L37" s="4" t="n">
        <f aca="false">IF(COUNTA(A37:J37)=0,0,1)</f>
        <v>0</v>
      </c>
      <c r="M37" s="4" t="n">
        <f aca="false">IF(L37=0,0,IF(OR(A37="",NOT(ISNUMBER(B37)),C37="",NOT(ISNUMBER(F37)),F37&lt;0,J37="",K37&lt;&gt;1),1,0))</f>
        <v>0</v>
      </c>
    </row>
    <row r="38" customFormat="false" ht="15" hidden="false" customHeight="true" outlineLevel="0" collapsed="false">
      <c r="A38" s="12"/>
      <c r="B38" s="14"/>
      <c r="C38" s="12"/>
      <c r="D38" s="12"/>
      <c r="E38" s="12"/>
      <c r="F38" s="15"/>
      <c r="G38" s="12"/>
      <c r="H38" s="12"/>
      <c r="I38" s="12"/>
      <c r="J38" s="12"/>
      <c r="K38" s="4" t="n">
        <f aca="false">IF(COUNTA(A38:J38)=0,0,IF(A38="",0,COUNTIF($A$13:$A$212,A38)))</f>
        <v>0</v>
      </c>
      <c r="L38" s="4" t="n">
        <f aca="false">IF(COUNTA(A38:J38)=0,0,1)</f>
        <v>0</v>
      </c>
      <c r="M38" s="4" t="n">
        <f aca="false">IF(L38=0,0,IF(OR(A38="",NOT(ISNUMBER(B38)),C38="",NOT(ISNUMBER(F38)),F38&lt;0,J38="",K38&lt;&gt;1),1,0))</f>
        <v>0</v>
      </c>
    </row>
    <row r="39" customFormat="false" ht="15" hidden="false" customHeight="true" outlineLevel="0" collapsed="false">
      <c r="A39" s="12"/>
      <c r="B39" s="14"/>
      <c r="C39" s="12"/>
      <c r="D39" s="12"/>
      <c r="E39" s="12"/>
      <c r="F39" s="15"/>
      <c r="G39" s="12"/>
      <c r="H39" s="12"/>
      <c r="I39" s="12"/>
      <c r="J39" s="12"/>
      <c r="K39" s="4" t="n">
        <f aca="false">IF(COUNTA(A39:J39)=0,0,IF(A39="",0,COUNTIF($A$13:$A$212,A39)))</f>
        <v>0</v>
      </c>
      <c r="L39" s="4" t="n">
        <f aca="false">IF(COUNTA(A39:J39)=0,0,1)</f>
        <v>0</v>
      </c>
      <c r="M39" s="4" t="n">
        <f aca="false">IF(L39=0,0,IF(OR(A39="",NOT(ISNUMBER(B39)),C39="",NOT(ISNUMBER(F39)),F39&lt;0,J39="",K39&lt;&gt;1),1,0))</f>
        <v>0</v>
      </c>
    </row>
    <row r="40" customFormat="false" ht="15" hidden="false" customHeight="true" outlineLevel="0" collapsed="false">
      <c r="A40" s="12"/>
      <c r="B40" s="14"/>
      <c r="C40" s="12"/>
      <c r="D40" s="12"/>
      <c r="E40" s="12"/>
      <c r="F40" s="15"/>
      <c r="G40" s="12"/>
      <c r="H40" s="12"/>
      <c r="I40" s="12"/>
      <c r="J40" s="12"/>
      <c r="K40" s="4" t="n">
        <f aca="false">IF(COUNTA(A40:J40)=0,0,IF(A40="",0,COUNTIF($A$13:$A$212,A40)))</f>
        <v>0</v>
      </c>
      <c r="L40" s="4" t="n">
        <f aca="false">IF(COUNTA(A40:J40)=0,0,1)</f>
        <v>0</v>
      </c>
      <c r="M40" s="4" t="n">
        <f aca="false">IF(L40=0,0,IF(OR(A40="",NOT(ISNUMBER(B40)),C40="",NOT(ISNUMBER(F40)),F40&lt;0,J40="",K40&lt;&gt;1),1,0))</f>
        <v>0</v>
      </c>
    </row>
    <row r="41" customFormat="false" ht="15" hidden="false" customHeight="true" outlineLevel="0" collapsed="false">
      <c r="A41" s="12"/>
      <c r="B41" s="14"/>
      <c r="C41" s="12"/>
      <c r="D41" s="12"/>
      <c r="E41" s="12"/>
      <c r="F41" s="15"/>
      <c r="G41" s="12"/>
      <c r="H41" s="12"/>
      <c r="I41" s="12"/>
      <c r="J41" s="12"/>
      <c r="K41" s="4" t="n">
        <f aca="false">IF(COUNTA(A41:J41)=0,0,IF(A41="",0,COUNTIF($A$13:$A$212,A41)))</f>
        <v>0</v>
      </c>
      <c r="L41" s="4" t="n">
        <f aca="false">IF(COUNTA(A41:J41)=0,0,1)</f>
        <v>0</v>
      </c>
      <c r="M41" s="4" t="n">
        <f aca="false">IF(L41=0,0,IF(OR(A41="",NOT(ISNUMBER(B41)),C41="",NOT(ISNUMBER(F41)),F41&lt;0,J41="",K41&lt;&gt;1),1,0))</f>
        <v>0</v>
      </c>
    </row>
    <row r="42" customFormat="false" ht="15" hidden="false" customHeight="true" outlineLevel="0" collapsed="false">
      <c r="A42" s="12"/>
      <c r="B42" s="14"/>
      <c r="C42" s="12"/>
      <c r="D42" s="12"/>
      <c r="E42" s="12"/>
      <c r="F42" s="15"/>
      <c r="G42" s="12"/>
      <c r="H42" s="12"/>
      <c r="I42" s="12"/>
      <c r="J42" s="12"/>
      <c r="K42" s="4" t="n">
        <f aca="false">IF(COUNTA(A42:J42)=0,0,IF(A42="",0,COUNTIF($A$13:$A$212,A42)))</f>
        <v>0</v>
      </c>
      <c r="L42" s="4" t="n">
        <f aca="false">IF(COUNTA(A42:J42)=0,0,1)</f>
        <v>0</v>
      </c>
      <c r="M42" s="4" t="n">
        <f aca="false">IF(L42=0,0,IF(OR(A42="",NOT(ISNUMBER(B42)),C42="",NOT(ISNUMBER(F42)),F42&lt;0,J42="",K42&lt;&gt;1),1,0))</f>
        <v>0</v>
      </c>
    </row>
    <row r="43" customFormat="false" ht="15" hidden="false" customHeight="true" outlineLevel="0" collapsed="false">
      <c r="A43" s="12"/>
      <c r="B43" s="14"/>
      <c r="C43" s="12"/>
      <c r="D43" s="12"/>
      <c r="E43" s="12"/>
      <c r="F43" s="15"/>
      <c r="G43" s="12"/>
      <c r="H43" s="12"/>
      <c r="I43" s="12"/>
      <c r="J43" s="12"/>
      <c r="K43" s="4" t="n">
        <f aca="false">IF(COUNTA(A43:J43)=0,0,IF(A43="",0,COUNTIF($A$13:$A$212,A43)))</f>
        <v>0</v>
      </c>
      <c r="L43" s="4" t="n">
        <f aca="false">IF(COUNTA(A43:J43)=0,0,1)</f>
        <v>0</v>
      </c>
      <c r="M43" s="4" t="n">
        <f aca="false">IF(L43=0,0,IF(OR(A43="",NOT(ISNUMBER(B43)),C43="",NOT(ISNUMBER(F43)),F43&lt;0,J43="",K43&lt;&gt;1),1,0))</f>
        <v>0</v>
      </c>
    </row>
    <row r="44" customFormat="false" ht="15" hidden="false" customHeight="true" outlineLevel="0" collapsed="false">
      <c r="A44" s="12"/>
      <c r="B44" s="14"/>
      <c r="C44" s="12"/>
      <c r="D44" s="12"/>
      <c r="E44" s="12"/>
      <c r="F44" s="15"/>
      <c r="G44" s="12"/>
      <c r="H44" s="12"/>
      <c r="I44" s="12"/>
      <c r="J44" s="12"/>
      <c r="K44" s="4" t="n">
        <f aca="false">IF(COUNTA(A44:J44)=0,0,IF(A44="",0,COUNTIF($A$13:$A$212,A44)))</f>
        <v>0</v>
      </c>
      <c r="L44" s="4" t="n">
        <f aca="false">IF(COUNTA(A44:J44)=0,0,1)</f>
        <v>0</v>
      </c>
      <c r="M44" s="4" t="n">
        <f aca="false">IF(L44=0,0,IF(OR(A44="",NOT(ISNUMBER(B44)),C44="",NOT(ISNUMBER(F44)),F44&lt;0,J44="",K44&lt;&gt;1),1,0))</f>
        <v>0</v>
      </c>
    </row>
    <row r="45" customFormat="false" ht="15" hidden="false" customHeight="true" outlineLevel="0" collapsed="false">
      <c r="A45" s="12"/>
      <c r="B45" s="14"/>
      <c r="C45" s="12"/>
      <c r="D45" s="12"/>
      <c r="E45" s="12"/>
      <c r="F45" s="15"/>
      <c r="G45" s="12"/>
      <c r="H45" s="12"/>
      <c r="I45" s="12"/>
      <c r="J45" s="12"/>
      <c r="K45" s="4" t="n">
        <f aca="false">IF(COUNTA(A45:J45)=0,0,IF(A45="",0,COUNTIF($A$13:$A$212,A45)))</f>
        <v>0</v>
      </c>
      <c r="L45" s="4" t="n">
        <f aca="false">IF(COUNTA(A45:J45)=0,0,1)</f>
        <v>0</v>
      </c>
      <c r="M45" s="4" t="n">
        <f aca="false">IF(L45=0,0,IF(OR(A45="",NOT(ISNUMBER(B45)),C45="",NOT(ISNUMBER(F45)),F45&lt;0,J45="",K45&lt;&gt;1),1,0))</f>
        <v>0</v>
      </c>
    </row>
    <row r="46" customFormat="false" ht="15" hidden="false" customHeight="true" outlineLevel="0" collapsed="false">
      <c r="A46" s="12"/>
      <c r="B46" s="14"/>
      <c r="C46" s="12"/>
      <c r="D46" s="12"/>
      <c r="E46" s="12"/>
      <c r="F46" s="15"/>
      <c r="G46" s="12"/>
      <c r="H46" s="12"/>
      <c r="I46" s="12"/>
      <c r="J46" s="12"/>
      <c r="K46" s="4" t="n">
        <f aca="false">IF(COUNTA(A46:J46)=0,0,IF(A46="",0,COUNTIF($A$13:$A$212,A46)))</f>
        <v>0</v>
      </c>
      <c r="L46" s="4" t="n">
        <f aca="false">IF(COUNTA(A46:J46)=0,0,1)</f>
        <v>0</v>
      </c>
      <c r="M46" s="4" t="n">
        <f aca="false">IF(L46=0,0,IF(OR(A46="",NOT(ISNUMBER(B46)),C46="",NOT(ISNUMBER(F46)),F46&lt;0,J46="",K46&lt;&gt;1),1,0))</f>
        <v>0</v>
      </c>
    </row>
    <row r="47" customFormat="false" ht="15" hidden="false" customHeight="true" outlineLevel="0" collapsed="false">
      <c r="A47" s="12"/>
      <c r="B47" s="14"/>
      <c r="C47" s="12"/>
      <c r="D47" s="12"/>
      <c r="E47" s="12"/>
      <c r="F47" s="15"/>
      <c r="G47" s="12"/>
      <c r="H47" s="12"/>
      <c r="I47" s="12"/>
      <c r="J47" s="12"/>
      <c r="K47" s="4" t="n">
        <f aca="false">IF(COUNTA(A47:J47)=0,0,IF(A47="",0,COUNTIF($A$13:$A$212,A47)))</f>
        <v>0</v>
      </c>
      <c r="L47" s="4" t="n">
        <f aca="false">IF(COUNTA(A47:J47)=0,0,1)</f>
        <v>0</v>
      </c>
      <c r="M47" s="4" t="n">
        <f aca="false">IF(L47=0,0,IF(OR(A47="",NOT(ISNUMBER(B47)),C47="",NOT(ISNUMBER(F47)),F47&lt;0,J47="",K47&lt;&gt;1),1,0))</f>
        <v>0</v>
      </c>
    </row>
    <row r="48" customFormat="false" ht="15" hidden="false" customHeight="true" outlineLevel="0" collapsed="false">
      <c r="A48" s="12"/>
      <c r="B48" s="14"/>
      <c r="C48" s="12"/>
      <c r="D48" s="12"/>
      <c r="E48" s="12"/>
      <c r="F48" s="15"/>
      <c r="G48" s="12"/>
      <c r="H48" s="12"/>
      <c r="I48" s="12"/>
      <c r="J48" s="12"/>
      <c r="K48" s="4" t="n">
        <f aca="false">IF(COUNTA(A48:J48)=0,0,IF(A48="",0,COUNTIF($A$13:$A$212,A48)))</f>
        <v>0</v>
      </c>
      <c r="L48" s="4" t="n">
        <f aca="false">IF(COUNTA(A48:J48)=0,0,1)</f>
        <v>0</v>
      </c>
      <c r="M48" s="4" t="n">
        <f aca="false">IF(L48=0,0,IF(OR(A48="",NOT(ISNUMBER(B48)),C48="",NOT(ISNUMBER(F48)),F48&lt;0,J48="",K48&lt;&gt;1),1,0))</f>
        <v>0</v>
      </c>
    </row>
    <row r="49" customFormat="false" ht="15" hidden="false" customHeight="true" outlineLevel="0" collapsed="false">
      <c r="A49" s="12"/>
      <c r="B49" s="14"/>
      <c r="C49" s="12"/>
      <c r="D49" s="12"/>
      <c r="E49" s="12"/>
      <c r="F49" s="15"/>
      <c r="G49" s="12"/>
      <c r="H49" s="12"/>
      <c r="I49" s="12"/>
      <c r="J49" s="12"/>
      <c r="K49" s="4" t="n">
        <f aca="false">IF(COUNTA(A49:J49)=0,0,IF(A49="",0,COUNTIF($A$13:$A$212,A49)))</f>
        <v>0</v>
      </c>
      <c r="L49" s="4" t="n">
        <f aca="false">IF(COUNTA(A49:J49)=0,0,1)</f>
        <v>0</v>
      </c>
      <c r="M49" s="4" t="n">
        <f aca="false">IF(L49=0,0,IF(OR(A49="",NOT(ISNUMBER(B49)),C49="",NOT(ISNUMBER(F49)),F49&lt;0,J49="",K49&lt;&gt;1),1,0))</f>
        <v>0</v>
      </c>
    </row>
    <row r="50" customFormat="false" ht="15" hidden="false" customHeight="true" outlineLevel="0" collapsed="false">
      <c r="A50" s="12"/>
      <c r="B50" s="14"/>
      <c r="C50" s="12"/>
      <c r="D50" s="12"/>
      <c r="E50" s="12"/>
      <c r="F50" s="15"/>
      <c r="G50" s="12"/>
      <c r="H50" s="12"/>
      <c r="I50" s="12"/>
      <c r="J50" s="12"/>
      <c r="K50" s="4" t="n">
        <f aca="false">IF(COUNTA(A50:J50)=0,0,IF(A50="",0,COUNTIF($A$13:$A$212,A50)))</f>
        <v>0</v>
      </c>
      <c r="L50" s="4" t="n">
        <f aca="false">IF(COUNTA(A50:J50)=0,0,1)</f>
        <v>0</v>
      </c>
      <c r="M50" s="4" t="n">
        <f aca="false">IF(L50=0,0,IF(OR(A50="",NOT(ISNUMBER(B50)),C50="",NOT(ISNUMBER(F50)),F50&lt;0,J50="",K50&lt;&gt;1),1,0))</f>
        <v>0</v>
      </c>
    </row>
    <row r="51" customFormat="false" ht="15" hidden="false" customHeight="true" outlineLevel="0" collapsed="false">
      <c r="A51" s="12"/>
      <c r="B51" s="14"/>
      <c r="C51" s="12"/>
      <c r="D51" s="12"/>
      <c r="E51" s="12"/>
      <c r="F51" s="15"/>
      <c r="G51" s="12"/>
      <c r="H51" s="12"/>
      <c r="I51" s="12"/>
      <c r="J51" s="12"/>
      <c r="K51" s="4" t="n">
        <f aca="false">IF(COUNTA(A51:J51)=0,0,IF(A51="",0,COUNTIF($A$13:$A$212,A51)))</f>
        <v>0</v>
      </c>
      <c r="L51" s="4" t="n">
        <f aca="false">IF(COUNTA(A51:J51)=0,0,1)</f>
        <v>0</v>
      </c>
      <c r="M51" s="4" t="n">
        <f aca="false">IF(L51=0,0,IF(OR(A51="",NOT(ISNUMBER(B51)),C51="",NOT(ISNUMBER(F51)),F51&lt;0,J51="",K51&lt;&gt;1),1,0))</f>
        <v>0</v>
      </c>
    </row>
    <row r="52" customFormat="false" ht="15" hidden="false" customHeight="true" outlineLevel="0" collapsed="false">
      <c r="A52" s="12"/>
      <c r="B52" s="14"/>
      <c r="C52" s="12"/>
      <c r="D52" s="12"/>
      <c r="E52" s="12"/>
      <c r="F52" s="15"/>
      <c r="G52" s="12"/>
      <c r="H52" s="12"/>
      <c r="I52" s="12"/>
      <c r="J52" s="12"/>
      <c r="K52" s="4" t="n">
        <f aca="false">IF(COUNTA(A52:J52)=0,0,IF(A52="",0,COUNTIF($A$13:$A$212,A52)))</f>
        <v>0</v>
      </c>
      <c r="L52" s="4" t="n">
        <f aca="false">IF(COUNTA(A52:J52)=0,0,1)</f>
        <v>0</v>
      </c>
      <c r="M52" s="4" t="n">
        <f aca="false">IF(L52=0,0,IF(OR(A52="",NOT(ISNUMBER(B52)),C52="",NOT(ISNUMBER(F52)),F52&lt;0,J52="",K52&lt;&gt;1),1,0))</f>
        <v>0</v>
      </c>
    </row>
    <row r="53" customFormat="false" ht="15" hidden="false" customHeight="true" outlineLevel="0" collapsed="false">
      <c r="A53" s="12"/>
      <c r="B53" s="14"/>
      <c r="C53" s="12"/>
      <c r="D53" s="12"/>
      <c r="E53" s="12"/>
      <c r="F53" s="15"/>
      <c r="G53" s="12"/>
      <c r="H53" s="12"/>
      <c r="I53" s="12"/>
      <c r="J53" s="12"/>
      <c r="K53" s="4" t="n">
        <f aca="false">IF(COUNTA(A53:J53)=0,0,IF(A53="",0,COUNTIF($A$13:$A$212,A53)))</f>
        <v>0</v>
      </c>
      <c r="L53" s="4" t="n">
        <f aca="false">IF(COUNTA(A53:J53)=0,0,1)</f>
        <v>0</v>
      </c>
      <c r="M53" s="4" t="n">
        <f aca="false">IF(L53=0,0,IF(OR(A53="",NOT(ISNUMBER(B53)),C53="",NOT(ISNUMBER(F53)),F53&lt;0,J53="",K53&lt;&gt;1),1,0))</f>
        <v>0</v>
      </c>
    </row>
    <row r="54" customFormat="false" ht="15" hidden="false" customHeight="true" outlineLevel="0" collapsed="false">
      <c r="A54" s="12"/>
      <c r="B54" s="14"/>
      <c r="C54" s="12"/>
      <c r="D54" s="12"/>
      <c r="E54" s="12"/>
      <c r="F54" s="15"/>
      <c r="G54" s="12"/>
      <c r="H54" s="12"/>
      <c r="I54" s="12"/>
      <c r="J54" s="12"/>
      <c r="K54" s="4" t="n">
        <f aca="false">IF(COUNTA(A54:J54)=0,0,IF(A54="",0,COUNTIF($A$13:$A$212,A54)))</f>
        <v>0</v>
      </c>
      <c r="L54" s="4" t="n">
        <f aca="false">IF(COUNTA(A54:J54)=0,0,1)</f>
        <v>0</v>
      </c>
      <c r="M54" s="4" t="n">
        <f aca="false">IF(L54=0,0,IF(OR(A54="",NOT(ISNUMBER(B54)),C54="",NOT(ISNUMBER(F54)),F54&lt;0,J54="",K54&lt;&gt;1),1,0))</f>
        <v>0</v>
      </c>
    </row>
    <row r="55" customFormat="false" ht="15" hidden="false" customHeight="true" outlineLevel="0" collapsed="false">
      <c r="A55" s="12"/>
      <c r="B55" s="14"/>
      <c r="C55" s="12"/>
      <c r="D55" s="12"/>
      <c r="E55" s="12"/>
      <c r="F55" s="15"/>
      <c r="G55" s="12"/>
      <c r="H55" s="12"/>
      <c r="I55" s="12"/>
      <c r="J55" s="12"/>
      <c r="K55" s="4" t="n">
        <f aca="false">IF(COUNTA(A55:J55)=0,0,IF(A55="",0,COUNTIF($A$13:$A$212,A55)))</f>
        <v>0</v>
      </c>
      <c r="L55" s="4" t="n">
        <f aca="false">IF(COUNTA(A55:J55)=0,0,1)</f>
        <v>0</v>
      </c>
      <c r="M55" s="4" t="n">
        <f aca="false">IF(L55=0,0,IF(OR(A55="",NOT(ISNUMBER(B55)),C55="",NOT(ISNUMBER(F55)),F55&lt;0,J55="",K55&lt;&gt;1),1,0))</f>
        <v>0</v>
      </c>
    </row>
    <row r="56" customFormat="false" ht="15" hidden="false" customHeight="true" outlineLevel="0" collapsed="false">
      <c r="A56" s="12"/>
      <c r="B56" s="14"/>
      <c r="C56" s="12"/>
      <c r="D56" s="12"/>
      <c r="E56" s="12"/>
      <c r="F56" s="15"/>
      <c r="G56" s="12"/>
      <c r="H56" s="12"/>
      <c r="I56" s="12"/>
      <c r="J56" s="12"/>
      <c r="K56" s="4" t="n">
        <f aca="false">IF(COUNTA(A56:J56)=0,0,IF(A56="",0,COUNTIF($A$13:$A$212,A56)))</f>
        <v>0</v>
      </c>
      <c r="L56" s="4" t="n">
        <f aca="false">IF(COUNTA(A56:J56)=0,0,1)</f>
        <v>0</v>
      </c>
      <c r="M56" s="4" t="n">
        <f aca="false">IF(L56=0,0,IF(OR(A56="",NOT(ISNUMBER(B56)),C56="",NOT(ISNUMBER(F56)),F56&lt;0,J56="",K56&lt;&gt;1),1,0))</f>
        <v>0</v>
      </c>
    </row>
    <row r="57" customFormat="false" ht="15" hidden="false" customHeight="true" outlineLevel="0" collapsed="false">
      <c r="A57" s="12"/>
      <c r="B57" s="14"/>
      <c r="C57" s="12"/>
      <c r="D57" s="12"/>
      <c r="E57" s="12"/>
      <c r="F57" s="15"/>
      <c r="G57" s="12"/>
      <c r="H57" s="12"/>
      <c r="I57" s="12"/>
      <c r="J57" s="12"/>
      <c r="K57" s="4" t="n">
        <f aca="false">IF(COUNTA(A57:J57)=0,0,IF(A57="",0,COUNTIF($A$13:$A$212,A57)))</f>
        <v>0</v>
      </c>
      <c r="L57" s="4" t="n">
        <f aca="false">IF(COUNTA(A57:J57)=0,0,1)</f>
        <v>0</v>
      </c>
      <c r="M57" s="4" t="n">
        <f aca="false">IF(L57=0,0,IF(OR(A57="",NOT(ISNUMBER(B57)),C57="",NOT(ISNUMBER(F57)),F57&lt;0,J57="",K57&lt;&gt;1),1,0))</f>
        <v>0</v>
      </c>
    </row>
    <row r="58" customFormat="false" ht="15" hidden="false" customHeight="true" outlineLevel="0" collapsed="false">
      <c r="A58" s="12"/>
      <c r="B58" s="14"/>
      <c r="C58" s="12"/>
      <c r="D58" s="12"/>
      <c r="E58" s="12"/>
      <c r="F58" s="15"/>
      <c r="G58" s="12"/>
      <c r="H58" s="12"/>
      <c r="I58" s="12"/>
      <c r="J58" s="12"/>
      <c r="K58" s="4" t="n">
        <f aca="false">IF(COUNTA(A58:J58)=0,0,IF(A58="",0,COUNTIF($A$13:$A$212,A58)))</f>
        <v>0</v>
      </c>
      <c r="L58" s="4" t="n">
        <f aca="false">IF(COUNTA(A58:J58)=0,0,1)</f>
        <v>0</v>
      </c>
      <c r="M58" s="4" t="n">
        <f aca="false">IF(L58=0,0,IF(OR(A58="",NOT(ISNUMBER(B58)),C58="",NOT(ISNUMBER(F58)),F58&lt;0,J58="",K58&lt;&gt;1),1,0))</f>
        <v>0</v>
      </c>
    </row>
    <row r="59" customFormat="false" ht="15" hidden="false" customHeight="true" outlineLevel="0" collapsed="false">
      <c r="A59" s="12"/>
      <c r="B59" s="14"/>
      <c r="C59" s="12"/>
      <c r="D59" s="12"/>
      <c r="E59" s="12"/>
      <c r="F59" s="15"/>
      <c r="G59" s="12"/>
      <c r="H59" s="12"/>
      <c r="I59" s="12"/>
      <c r="J59" s="12"/>
      <c r="K59" s="4" t="n">
        <f aca="false">IF(COUNTA(A59:J59)=0,0,IF(A59="",0,COUNTIF($A$13:$A$212,A59)))</f>
        <v>0</v>
      </c>
      <c r="L59" s="4" t="n">
        <f aca="false">IF(COUNTA(A59:J59)=0,0,1)</f>
        <v>0</v>
      </c>
      <c r="M59" s="4" t="n">
        <f aca="false">IF(L59=0,0,IF(OR(A59="",NOT(ISNUMBER(B59)),C59="",NOT(ISNUMBER(F59)),F59&lt;0,J59="",K59&lt;&gt;1),1,0))</f>
        <v>0</v>
      </c>
    </row>
    <row r="60" customFormat="false" ht="15" hidden="false" customHeight="true" outlineLevel="0" collapsed="false">
      <c r="A60" s="12"/>
      <c r="B60" s="14"/>
      <c r="C60" s="12"/>
      <c r="D60" s="12"/>
      <c r="E60" s="12"/>
      <c r="F60" s="15"/>
      <c r="G60" s="12"/>
      <c r="H60" s="12"/>
      <c r="I60" s="12"/>
      <c r="J60" s="12"/>
      <c r="K60" s="4" t="n">
        <f aca="false">IF(COUNTA(A60:J60)=0,0,IF(A60="",0,COUNTIF($A$13:$A$212,A60)))</f>
        <v>0</v>
      </c>
      <c r="L60" s="4" t="n">
        <f aca="false">IF(COUNTA(A60:J60)=0,0,1)</f>
        <v>0</v>
      </c>
      <c r="M60" s="4" t="n">
        <f aca="false">IF(L60=0,0,IF(OR(A60="",NOT(ISNUMBER(B60)),C60="",NOT(ISNUMBER(F60)),F60&lt;0,J60="",K60&lt;&gt;1),1,0))</f>
        <v>0</v>
      </c>
    </row>
    <row r="61" customFormat="false" ht="15" hidden="false" customHeight="true" outlineLevel="0" collapsed="false">
      <c r="A61" s="12"/>
      <c r="B61" s="14"/>
      <c r="C61" s="12"/>
      <c r="D61" s="12"/>
      <c r="E61" s="12"/>
      <c r="F61" s="15"/>
      <c r="G61" s="12"/>
      <c r="H61" s="12"/>
      <c r="I61" s="12"/>
      <c r="J61" s="12"/>
      <c r="K61" s="4" t="n">
        <f aca="false">IF(COUNTA(A61:J61)=0,0,IF(A61="",0,COUNTIF($A$13:$A$212,A61)))</f>
        <v>0</v>
      </c>
      <c r="L61" s="4" t="n">
        <f aca="false">IF(COUNTA(A61:J61)=0,0,1)</f>
        <v>0</v>
      </c>
      <c r="M61" s="4" t="n">
        <f aca="false">IF(L61=0,0,IF(OR(A61="",NOT(ISNUMBER(B61)),C61="",NOT(ISNUMBER(F61)),F61&lt;0,J61="",K61&lt;&gt;1),1,0))</f>
        <v>0</v>
      </c>
    </row>
    <row r="62" customFormat="false" ht="15" hidden="false" customHeight="true" outlineLevel="0" collapsed="false">
      <c r="A62" s="12"/>
      <c r="B62" s="14"/>
      <c r="C62" s="12"/>
      <c r="D62" s="12"/>
      <c r="E62" s="12"/>
      <c r="F62" s="15"/>
      <c r="G62" s="12"/>
      <c r="H62" s="12"/>
      <c r="I62" s="12"/>
      <c r="J62" s="12"/>
      <c r="K62" s="4" t="n">
        <f aca="false">IF(COUNTA(A62:J62)=0,0,IF(A62="",0,COUNTIF($A$13:$A$212,A62)))</f>
        <v>0</v>
      </c>
      <c r="L62" s="4" t="n">
        <f aca="false">IF(COUNTA(A62:J62)=0,0,1)</f>
        <v>0</v>
      </c>
      <c r="M62" s="4" t="n">
        <f aca="false">IF(L62=0,0,IF(OR(A62="",NOT(ISNUMBER(B62)),C62="",NOT(ISNUMBER(F62)),F62&lt;0,J62="",K62&lt;&gt;1),1,0))</f>
        <v>0</v>
      </c>
    </row>
    <row r="63" customFormat="false" ht="15" hidden="false" customHeight="true" outlineLevel="0" collapsed="false">
      <c r="A63" s="12"/>
      <c r="B63" s="14"/>
      <c r="C63" s="12"/>
      <c r="D63" s="12"/>
      <c r="E63" s="12"/>
      <c r="F63" s="15"/>
      <c r="G63" s="12"/>
      <c r="H63" s="12"/>
      <c r="I63" s="12"/>
      <c r="J63" s="12"/>
      <c r="K63" s="4" t="n">
        <f aca="false">IF(COUNTA(A63:J63)=0,0,IF(A63="",0,COUNTIF($A$13:$A$212,A63)))</f>
        <v>0</v>
      </c>
      <c r="L63" s="4" t="n">
        <f aca="false">IF(COUNTA(A63:J63)=0,0,1)</f>
        <v>0</v>
      </c>
      <c r="M63" s="4" t="n">
        <f aca="false">IF(L63=0,0,IF(OR(A63="",NOT(ISNUMBER(B63)),C63="",NOT(ISNUMBER(F63)),F63&lt;0,J63="",K63&lt;&gt;1),1,0))</f>
        <v>0</v>
      </c>
    </row>
    <row r="64" customFormat="false" ht="15" hidden="false" customHeight="true" outlineLevel="0" collapsed="false">
      <c r="A64" s="12"/>
      <c r="B64" s="14"/>
      <c r="C64" s="12"/>
      <c r="D64" s="12"/>
      <c r="E64" s="12"/>
      <c r="F64" s="15"/>
      <c r="G64" s="12"/>
      <c r="H64" s="12"/>
      <c r="I64" s="12"/>
      <c r="J64" s="12"/>
      <c r="K64" s="4" t="n">
        <f aca="false">IF(COUNTA(A64:J64)=0,0,IF(A64="",0,COUNTIF($A$13:$A$212,A64)))</f>
        <v>0</v>
      </c>
      <c r="L64" s="4" t="n">
        <f aca="false">IF(COUNTA(A64:J64)=0,0,1)</f>
        <v>0</v>
      </c>
      <c r="M64" s="4" t="n">
        <f aca="false">IF(L64=0,0,IF(OR(A64="",NOT(ISNUMBER(B64)),C64="",NOT(ISNUMBER(F64)),F64&lt;0,J64="",K64&lt;&gt;1),1,0))</f>
        <v>0</v>
      </c>
    </row>
    <row r="65" customFormat="false" ht="15" hidden="false" customHeight="true" outlineLevel="0" collapsed="false">
      <c r="A65" s="12"/>
      <c r="B65" s="14"/>
      <c r="C65" s="12"/>
      <c r="D65" s="12"/>
      <c r="E65" s="12"/>
      <c r="F65" s="15"/>
      <c r="G65" s="12"/>
      <c r="H65" s="12"/>
      <c r="I65" s="12"/>
      <c r="J65" s="12"/>
      <c r="K65" s="4" t="n">
        <f aca="false">IF(COUNTA(A65:J65)=0,0,IF(A65="",0,COUNTIF($A$13:$A$212,A65)))</f>
        <v>0</v>
      </c>
      <c r="L65" s="4" t="n">
        <f aca="false">IF(COUNTA(A65:J65)=0,0,1)</f>
        <v>0</v>
      </c>
      <c r="M65" s="4" t="n">
        <f aca="false">IF(L65=0,0,IF(OR(A65="",NOT(ISNUMBER(B65)),C65="",NOT(ISNUMBER(F65)),F65&lt;0,J65="",K65&lt;&gt;1),1,0))</f>
        <v>0</v>
      </c>
    </row>
    <row r="66" customFormat="false" ht="15" hidden="false" customHeight="true" outlineLevel="0" collapsed="false">
      <c r="A66" s="12"/>
      <c r="B66" s="14"/>
      <c r="C66" s="12"/>
      <c r="D66" s="12"/>
      <c r="E66" s="12"/>
      <c r="F66" s="15"/>
      <c r="G66" s="12"/>
      <c r="H66" s="12"/>
      <c r="I66" s="12"/>
      <c r="J66" s="12"/>
      <c r="K66" s="4" t="n">
        <f aca="false">IF(COUNTA(A66:J66)=0,0,IF(A66="",0,COUNTIF($A$13:$A$212,A66)))</f>
        <v>0</v>
      </c>
      <c r="L66" s="4" t="n">
        <f aca="false">IF(COUNTA(A66:J66)=0,0,1)</f>
        <v>0</v>
      </c>
      <c r="M66" s="4" t="n">
        <f aca="false">IF(L66=0,0,IF(OR(A66="",NOT(ISNUMBER(B66)),C66="",NOT(ISNUMBER(F66)),F66&lt;0,J66="",K66&lt;&gt;1),1,0))</f>
        <v>0</v>
      </c>
    </row>
    <row r="67" customFormat="false" ht="15" hidden="false" customHeight="true" outlineLevel="0" collapsed="false">
      <c r="A67" s="12"/>
      <c r="B67" s="14"/>
      <c r="C67" s="12"/>
      <c r="D67" s="12"/>
      <c r="E67" s="12"/>
      <c r="F67" s="15"/>
      <c r="G67" s="12"/>
      <c r="H67" s="12"/>
      <c r="I67" s="12"/>
      <c r="J67" s="12"/>
      <c r="K67" s="4" t="n">
        <f aca="false">IF(COUNTA(A67:J67)=0,0,IF(A67="",0,COUNTIF($A$13:$A$212,A67)))</f>
        <v>0</v>
      </c>
      <c r="L67" s="4" t="n">
        <f aca="false">IF(COUNTA(A67:J67)=0,0,1)</f>
        <v>0</v>
      </c>
      <c r="M67" s="4" t="n">
        <f aca="false">IF(L67=0,0,IF(OR(A67="",NOT(ISNUMBER(B67)),C67="",NOT(ISNUMBER(F67)),F67&lt;0,J67="",K67&lt;&gt;1),1,0))</f>
        <v>0</v>
      </c>
    </row>
    <row r="68" customFormat="false" ht="15" hidden="false" customHeight="true" outlineLevel="0" collapsed="false">
      <c r="A68" s="12"/>
      <c r="B68" s="14"/>
      <c r="C68" s="12"/>
      <c r="D68" s="12"/>
      <c r="E68" s="12"/>
      <c r="F68" s="15"/>
      <c r="G68" s="12"/>
      <c r="H68" s="12"/>
      <c r="I68" s="12"/>
      <c r="J68" s="12"/>
      <c r="K68" s="4" t="n">
        <f aca="false">IF(COUNTA(A68:J68)=0,0,IF(A68="",0,COUNTIF($A$13:$A$212,A68)))</f>
        <v>0</v>
      </c>
      <c r="L68" s="4" t="n">
        <f aca="false">IF(COUNTA(A68:J68)=0,0,1)</f>
        <v>0</v>
      </c>
      <c r="M68" s="4" t="n">
        <f aca="false">IF(L68=0,0,IF(OR(A68="",NOT(ISNUMBER(B68)),C68="",NOT(ISNUMBER(F68)),F68&lt;0,J68="",K68&lt;&gt;1),1,0))</f>
        <v>0</v>
      </c>
    </row>
    <row r="69" customFormat="false" ht="15" hidden="false" customHeight="true" outlineLevel="0" collapsed="false">
      <c r="A69" s="12"/>
      <c r="B69" s="14"/>
      <c r="C69" s="12"/>
      <c r="D69" s="12"/>
      <c r="E69" s="12"/>
      <c r="F69" s="15"/>
      <c r="G69" s="12"/>
      <c r="H69" s="12"/>
      <c r="I69" s="12"/>
      <c r="J69" s="12"/>
      <c r="K69" s="4" t="n">
        <f aca="false">IF(COUNTA(A69:J69)=0,0,IF(A69="",0,COUNTIF($A$13:$A$212,A69)))</f>
        <v>0</v>
      </c>
      <c r="L69" s="4" t="n">
        <f aca="false">IF(COUNTA(A69:J69)=0,0,1)</f>
        <v>0</v>
      </c>
      <c r="M69" s="4" t="n">
        <f aca="false">IF(L69=0,0,IF(OR(A69="",NOT(ISNUMBER(B69)),C69="",NOT(ISNUMBER(F69)),F69&lt;0,J69="",K69&lt;&gt;1),1,0))</f>
        <v>0</v>
      </c>
    </row>
    <row r="70" customFormat="false" ht="15" hidden="false" customHeight="true" outlineLevel="0" collapsed="false">
      <c r="A70" s="12"/>
      <c r="B70" s="14"/>
      <c r="C70" s="12"/>
      <c r="D70" s="12"/>
      <c r="E70" s="12"/>
      <c r="F70" s="15"/>
      <c r="G70" s="12"/>
      <c r="H70" s="12"/>
      <c r="I70" s="12"/>
      <c r="J70" s="12"/>
      <c r="K70" s="4" t="n">
        <f aca="false">IF(COUNTA(A70:J70)=0,0,IF(A70="",0,COUNTIF($A$13:$A$212,A70)))</f>
        <v>0</v>
      </c>
      <c r="L70" s="4" t="n">
        <f aca="false">IF(COUNTA(A70:J70)=0,0,1)</f>
        <v>0</v>
      </c>
      <c r="M70" s="4" t="n">
        <f aca="false">IF(L70=0,0,IF(OR(A70="",NOT(ISNUMBER(B70)),C70="",NOT(ISNUMBER(F70)),F70&lt;0,J70="",K70&lt;&gt;1),1,0))</f>
        <v>0</v>
      </c>
    </row>
    <row r="71" customFormat="false" ht="15" hidden="false" customHeight="true" outlineLevel="0" collapsed="false">
      <c r="A71" s="12"/>
      <c r="B71" s="14"/>
      <c r="C71" s="12"/>
      <c r="D71" s="12"/>
      <c r="E71" s="12"/>
      <c r="F71" s="15"/>
      <c r="G71" s="12"/>
      <c r="H71" s="12"/>
      <c r="I71" s="12"/>
      <c r="J71" s="12"/>
      <c r="K71" s="4" t="n">
        <f aca="false">IF(COUNTA(A71:J71)=0,0,IF(A71="",0,COUNTIF($A$13:$A$212,A71)))</f>
        <v>0</v>
      </c>
      <c r="L71" s="4" t="n">
        <f aca="false">IF(COUNTA(A71:J71)=0,0,1)</f>
        <v>0</v>
      </c>
      <c r="M71" s="4" t="n">
        <f aca="false">IF(L71=0,0,IF(OR(A71="",NOT(ISNUMBER(B71)),C71="",NOT(ISNUMBER(F71)),F71&lt;0,J71="",K71&lt;&gt;1),1,0))</f>
        <v>0</v>
      </c>
    </row>
    <row r="72" customFormat="false" ht="15" hidden="false" customHeight="true" outlineLevel="0" collapsed="false">
      <c r="A72" s="12"/>
      <c r="B72" s="14"/>
      <c r="C72" s="12"/>
      <c r="D72" s="12"/>
      <c r="E72" s="12"/>
      <c r="F72" s="15"/>
      <c r="G72" s="12"/>
      <c r="H72" s="12"/>
      <c r="I72" s="12"/>
      <c r="J72" s="12"/>
      <c r="K72" s="4" t="n">
        <f aca="false">IF(COUNTA(A72:J72)=0,0,IF(A72="",0,COUNTIF($A$13:$A$212,A72)))</f>
        <v>0</v>
      </c>
      <c r="L72" s="4" t="n">
        <f aca="false">IF(COUNTA(A72:J72)=0,0,1)</f>
        <v>0</v>
      </c>
      <c r="M72" s="4" t="n">
        <f aca="false">IF(L72=0,0,IF(OR(A72="",NOT(ISNUMBER(B72)),C72="",NOT(ISNUMBER(F72)),F72&lt;0,J72="",K72&lt;&gt;1),1,0))</f>
        <v>0</v>
      </c>
    </row>
    <row r="73" customFormat="false" ht="15" hidden="false" customHeight="true" outlineLevel="0" collapsed="false">
      <c r="A73" s="12"/>
      <c r="B73" s="14"/>
      <c r="C73" s="12"/>
      <c r="D73" s="12"/>
      <c r="E73" s="12"/>
      <c r="F73" s="15"/>
      <c r="G73" s="12"/>
      <c r="H73" s="12"/>
      <c r="I73" s="12"/>
      <c r="J73" s="12"/>
      <c r="K73" s="4" t="n">
        <f aca="false">IF(COUNTA(A73:J73)=0,0,IF(A73="",0,COUNTIF($A$13:$A$212,A73)))</f>
        <v>0</v>
      </c>
      <c r="L73" s="4" t="n">
        <f aca="false">IF(COUNTA(A73:J73)=0,0,1)</f>
        <v>0</v>
      </c>
      <c r="M73" s="4" t="n">
        <f aca="false">IF(L73=0,0,IF(OR(A73="",NOT(ISNUMBER(B73)),C73="",NOT(ISNUMBER(F73)),F73&lt;0,J73="",K73&lt;&gt;1),1,0))</f>
        <v>0</v>
      </c>
    </row>
    <row r="74" customFormat="false" ht="15" hidden="false" customHeight="true" outlineLevel="0" collapsed="false">
      <c r="A74" s="12"/>
      <c r="B74" s="14"/>
      <c r="C74" s="12"/>
      <c r="D74" s="12"/>
      <c r="E74" s="12"/>
      <c r="F74" s="15"/>
      <c r="G74" s="12"/>
      <c r="H74" s="12"/>
      <c r="I74" s="12"/>
      <c r="J74" s="12"/>
      <c r="K74" s="4" t="n">
        <f aca="false">IF(COUNTA(A74:J74)=0,0,IF(A74="",0,COUNTIF($A$13:$A$212,A74)))</f>
        <v>0</v>
      </c>
      <c r="L74" s="4" t="n">
        <f aca="false">IF(COUNTA(A74:J74)=0,0,1)</f>
        <v>0</v>
      </c>
      <c r="M74" s="4" t="n">
        <f aca="false">IF(L74=0,0,IF(OR(A74="",NOT(ISNUMBER(B74)),C74="",NOT(ISNUMBER(F74)),F74&lt;0,J74="",K74&lt;&gt;1),1,0))</f>
        <v>0</v>
      </c>
    </row>
    <row r="75" customFormat="false" ht="15" hidden="false" customHeight="true" outlineLevel="0" collapsed="false">
      <c r="A75" s="12"/>
      <c r="B75" s="14"/>
      <c r="C75" s="12"/>
      <c r="D75" s="12"/>
      <c r="E75" s="12"/>
      <c r="F75" s="15"/>
      <c r="G75" s="12"/>
      <c r="H75" s="12"/>
      <c r="I75" s="12"/>
      <c r="J75" s="12"/>
      <c r="K75" s="4" t="n">
        <f aca="false">IF(COUNTA(A75:J75)=0,0,IF(A75="",0,COUNTIF($A$13:$A$212,A75)))</f>
        <v>0</v>
      </c>
      <c r="L75" s="4" t="n">
        <f aca="false">IF(COUNTA(A75:J75)=0,0,1)</f>
        <v>0</v>
      </c>
      <c r="M75" s="4" t="n">
        <f aca="false">IF(L75=0,0,IF(OR(A75="",NOT(ISNUMBER(B75)),C75="",NOT(ISNUMBER(F75)),F75&lt;0,J75="",K75&lt;&gt;1),1,0))</f>
        <v>0</v>
      </c>
    </row>
    <row r="76" customFormat="false" ht="15" hidden="false" customHeight="true" outlineLevel="0" collapsed="false">
      <c r="A76" s="12"/>
      <c r="B76" s="14"/>
      <c r="C76" s="12"/>
      <c r="D76" s="12"/>
      <c r="E76" s="12"/>
      <c r="F76" s="15"/>
      <c r="G76" s="12"/>
      <c r="H76" s="12"/>
      <c r="I76" s="12"/>
      <c r="J76" s="12"/>
      <c r="K76" s="4" t="n">
        <f aca="false">IF(COUNTA(A76:J76)=0,0,IF(A76="",0,COUNTIF($A$13:$A$212,A76)))</f>
        <v>0</v>
      </c>
      <c r="L76" s="4" t="n">
        <f aca="false">IF(COUNTA(A76:J76)=0,0,1)</f>
        <v>0</v>
      </c>
      <c r="M76" s="4" t="n">
        <f aca="false">IF(L76=0,0,IF(OR(A76="",NOT(ISNUMBER(B76)),C76="",NOT(ISNUMBER(F76)),F76&lt;0,J76="",K76&lt;&gt;1),1,0))</f>
        <v>0</v>
      </c>
    </row>
    <row r="77" customFormat="false" ht="15" hidden="false" customHeight="true" outlineLevel="0" collapsed="false">
      <c r="A77" s="12"/>
      <c r="B77" s="14"/>
      <c r="C77" s="12"/>
      <c r="D77" s="12"/>
      <c r="E77" s="12"/>
      <c r="F77" s="15"/>
      <c r="G77" s="12"/>
      <c r="H77" s="12"/>
      <c r="I77" s="12"/>
      <c r="J77" s="12"/>
      <c r="K77" s="4" t="n">
        <f aca="false">IF(COUNTA(A77:J77)=0,0,IF(A77="",0,COUNTIF($A$13:$A$212,A77)))</f>
        <v>0</v>
      </c>
      <c r="L77" s="4" t="n">
        <f aca="false">IF(COUNTA(A77:J77)=0,0,1)</f>
        <v>0</v>
      </c>
      <c r="M77" s="4" t="n">
        <f aca="false">IF(L77=0,0,IF(OR(A77="",NOT(ISNUMBER(B77)),C77="",NOT(ISNUMBER(F77)),F77&lt;0,J77="",K77&lt;&gt;1),1,0))</f>
        <v>0</v>
      </c>
    </row>
    <row r="78" customFormat="false" ht="15" hidden="false" customHeight="true" outlineLevel="0" collapsed="false">
      <c r="A78" s="12"/>
      <c r="B78" s="14"/>
      <c r="C78" s="12"/>
      <c r="D78" s="12"/>
      <c r="E78" s="12"/>
      <c r="F78" s="15"/>
      <c r="G78" s="12"/>
      <c r="H78" s="12"/>
      <c r="I78" s="12"/>
      <c r="J78" s="12"/>
      <c r="K78" s="4" t="n">
        <f aca="false">IF(COUNTA(A78:J78)=0,0,IF(A78="",0,COUNTIF($A$13:$A$212,A78)))</f>
        <v>0</v>
      </c>
      <c r="L78" s="4" t="n">
        <f aca="false">IF(COUNTA(A78:J78)=0,0,1)</f>
        <v>0</v>
      </c>
      <c r="M78" s="4" t="n">
        <f aca="false">IF(L78=0,0,IF(OR(A78="",NOT(ISNUMBER(B78)),C78="",NOT(ISNUMBER(F78)),F78&lt;0,J78="",K78&lt;&gt;1),1,0))</f>
        <v>0</v>
      </c>
    </row>
    <row r="79" customFormat="false" ht="15" hidden="false" customHeight="true" outlineLevel="0" collapsed="false">
      <c r="A79" s="12"/>
      <c r="B79" s="14"/>
      <c r="C79" s="12"/>
      <c r="D79" s="12"/>
      <c r="E79" s="12"/>
      <c r="F79" s="15"/>
      <c r="G79" s="12"/>
      <c r="H79" s="12"/>
      <c r="I79" s="12"/>
      <c r="J79" s="12"/>
      <c r="K79" s="4" t="n">
        <f aca="false">IF(COUNTA(A79:J79)=0,0,IF(A79="",0,COUNTIF($A$13:$A$212,A79)))</f>
        <v>0</v>
      </c>
      <c r="L79" s="4" t="n">
        <f aca="false">IF(COUNTA(A79:J79)=0,0,1)</f>
        <v>0</v>
      </c>
      <c r="M79" s="4" t="n">
        <f aca="false">IF(L79=0,0,IF(OR(A79="",NOT(ISNUMBER(B79)),C79="",NOT(ISNUMBER(F79)),F79&lt;0,J79="",K79&lt;&gt;1),1,0))</f>
        <v>0</v>
      </c>
    </row>
    <row r="80" customFormat="false" ht="15" hidden="false" customHeight="true" outlineLevel="0" collapsed="false">
      <c r="A80" s="12"/>
      <c r="B80" s="14"/>
      <c r="C80" s="12"/>
      <c r="D80" s="12"/>
      <c r="E80" s="12"/>
      <c r="F80" s="15"/>
      <c r="G80" s="12"/>
      <c r="H80" s="12"/>
      <c r="I80" s="12"/>
      <c r="J80" s="12"/>
      <c r="K80" s="4" t="n">
        <f aca="false">IF(COUNTA(A80:J80)=0,0,IF(A80="",0,COUNTIF($A$13:$A$212,A80)))</f>
        <v>0</v>
      </c>
      <c r="L80" s="4" t="n">
        <f aca="false">IF(COUNTA(A80:J80)=0,0,1)</f>
        <v>0</v>
      </c>
      <c r="M80" s="4" t="n">
        <f aca="false">IF(L80=0,0,IF(OR(A80="",NOT(ISNUMBER(B80)),C80="",NOT(ISNUMBER(F80)),F80&lt;0,J80="",K80&lt;&gt;1),1,0))</f>
        <v>0</v>
      </c>
    </row>
    <row r="81" customFormat="false" ht="15" hidden="false" customHeight="true" outlineLevel="0" collapsed="false">
      <c r="A81" s="12"/>
      <c r="B81" s="14"/>
      <c r="C81" s="12"/>
      <c r="D81" s="12"/>
      <c r="E81" s="12"/>
      <c r="F81" s="15"/>
      <c r="G81" s="12"/>
      <c r="H81" s="12"/>
      <c r="I81" s="12"/>
      <c r="J81" s="12"/>
      <c r="K81" s="4" t="n">
        <f aca="false">IF(COUNTA(A81:J81)=0,0,IF(A81="",0,COUNTIF($A$13:$A$212,A81)))</f>
        <v>0</v>
      </c>
      <c r="L81" s="4" t="n">
        <f aca="false">IF(COUNTA(A81:J81)=0,0,1)</f>
        <v>0</v>
      </c>
      <c r="M81" s="4" t="n">
        <f aca="false">IF(L81=0,0,IF(OR(A81="",NOT(ISNUMBER(B81)),C81="",NOT(ISNUMBER(F81)),F81&lt;0,J81="",K81&lt;&gt;1),1,0))</f>
        <v>0</v>
      </c>
    </row>
    <row r="82" customFormat="false" ht="15" hidden="false" customHeight="true" outlineLevel="0" collapsed="false">
      <c r="A82" s="12"/>
      <c r="B82" s="14"/>
      <c r="C82" s="12"/>
      <c r="D82" s="12"/>
      <c r="E82" s="12"/>
      <c r="F82" s="15"/>
      <c r="G82" s="12"/>
      <c r="H82" s="12"/>
      <c r="I82" s="12"/>
      <c r="J82" s="12"/>
      <c r="K82" s="4" t="n">
        <f aca="false">IF(COUNTA(A82:J82)=0,0,IF(A82="",0,COUNTIF($A$13:$A$212,A82)))</f>
        <v>0</v>
      </c>
      <c r="L82" s="4" t="n">
        <f aca="false">IF(COUNTA(A82:J82)=0,0,1)</f>
        <v>0</v>
      </c>
      <c r="M82" s="4" t="n">
        <f aca="false">IF(L82=0,0,IF(OR(A82="",NOT(ISNUMBER(B82)),C82="",NOT(ISNUMBER(F82)),F82&lt;0,J82="",K82&lt;&gt;1),1,0))</f>
        <v>0</v>
      </c>
    </row>
    <row r="83" customFormat="false" ht="15" hidden="false" customHeight="true" outlineLevel="0" collapsed="false">
      <c r="A83" s="12"/>
      <c r="B83" s="14"/>
      <c r="C83" s="12"/>
      <c r="D83" s="12"/>
      <c r="E83" s="12"/>
      <c r="F83" s="15"/>
      <c r="G83" s="12"/>
      <c r="H83" s="12"/>
      <c r="I83" s="12"/>
      <c r="J83" s="12"/>
      <c r="K83" s="4" t="n">
        <f aca="false">IF(COUNTA(A83:J83)=0,0,IF(A83="",0,COUNTIF($A$13:$A$212,A83)))</f>
        <v>0</v>
      </c>
      <c r="L83" s="4" t="n">
        <f aca="false">IF(COUNTA(A83:J83)=0,0,1)</f>
        <v>0</v>
      </c>
      <c r="M83" s="4" t="n">
        <f aca="false">IF(L83=0,0,IF(OR(A83="",NOT(ISNUMBER(B83)),C83="",NOT(ISNUMBER(F83)),F83&lt;0,J83="",K83&lt;&gt;1),1,0))</f>
        <v>0</v>
      </c>
    </row>
    <row r="84" customFormat="false" ht="15" hidden="false" customHeight="true" outlineLevel="0" collapsed="false">
      <c r="A84" s="12"/>
      <c r="B84" s="14"/>
      <c r="C84" s="12"/>
      <c r="D84" s="12"/>
      <c r="E84" s="12"/>
      <c r="F84" s="15"/>
      <c r="G84" s="12"/>
      <c r="H84" s="12"/>
      <c r="I84" s="12"/>
      <c r="J84" s="12"/>
      <c r="K84" s="4" t="n">
        <f aca="false">IF(COUNTA(A84:J84)=0,0,IF(A84="",0,COUNTIF($A$13:$A$212,A84)))</f>
        <v>0</v>
      </c>
      <c r="L84" s="4" t="n">
        <f aca="false">IF(COUNTA(A84:J84)=0,0,1)</f>
        <v>0</v>
      </c>
      <c r="M84" s="4" t="n">
        <f aca="false">IF(L84=0,0,IF(OR(A84="",NOT(ISNUMBER(B84)),C84="",NOT(ISNUMBER(F84)),F84&lt;0,J84="",K84&lt;&gt;1),1,0))</f>
        <v>0</v>
      </c>
    </row>
    <row r="85" customFormat="false" ht="15" hidden="false" customHeight="true" outlineLevel="0" collapsed="false">
      <c r="A85" s="12"/>
      <c r="B85" s="14"/>
      <c r="C85" s="12"/>
      <c r="D85" s="12"/>
      <c r="E85" s="12"/>
      <c r="F85" s="15"/>
      <c r="G85" s="12"/>
      <c r="H85" s="12"/>
      <c r="I85" s="12"/>
      <c r="J85" s="12"/>
      <c r="K85" s="4" t="n">
        <f aca="false">IF(COUNTA(A85:J85)=0,0,IF(A85="",0,COUNTIF($A$13:$A$212,A85)))</f>
        <v>0</v>
      </c>
      <c r="L85" s="4" t="n">
        <f aca="false">IF(COUNTA(A85:J85)=0,0,1)</f>
        <v>0</v>
      </c>
      <c r="M85" s="4" t="n">
        <f aca="false">IF(L85=0,0,IF(OR(A85="",NOT(ISNUMBER(B85)),C85="",NOT(ISNUMBER(F85)),F85&lt;0,J85="",K85&lt;&gt;1),1,0))</f>
        <v>0</v>
      </c>
    </row>
    <row r="86" customFormat="false" ht="15" hidden="false" customHeight="true" outlineLevel="0" collapsed="false">
      <c r="A86" s="12"/>
      <c r="B86" s="14"/>
      <c r="C86" s="12"/>
      <c r="D86" s="12"/>
      <c r="E86" s="12"/>
      <c r="F86" s="15"/>
      <c r="G86" s="12"/>
      <c r="H86" s="12"/>
      <c r="I86" s="12"/>
      <c r="J86" s="12"/>
      <c r="K86" s="4" t="n">
        <f aca="false">IF(COUNTA(A86:J86)=0,0,IF(A86="",0,COUNTIF($A$13:$A$212,A86)))</f>
        <v>0</v>
      </c>
      <c r="L86" s="4" t="n">
        <f aca="false">IF(COUNTA(A86:J86)=0,0,1)</f>
        <v>0</v>
      </c>
      <c r="M86" s="4" t="n">
        <f aca="false">IF(L86=0,0,IF(OR(A86="",NOT(ISNUMBER(B86)),C86="",NOT(ISNUMBER(F86)),F86&lt;0,J86="",K86&lt;&gt;1),1,0))</f>
        <v>0</v>
      </c>
    </row>
    <row r="87" customFormat="false" ht="15" hidden="false" customHeight="true" outlineLevel="0" collapsed="false">
      <c r="A87" s="12"/>
      <c r="B87" s="14"/>
      <c r="C87" s="12"/>
      <c r="D87" s="12"/>
      <c r="E87" s="12"/>
      <c r="F87" s="15"/>
      <c r="G87" s="12"/>
      <c r="H87" s="12"/>
      <c r="I87" s="12"/>
      <c r="J87" s="12"/>
      <c r="K87" s="4" t="n">
        <f aca="false">IF(COUNTA(A87:J87)=0,0,IF(A87="",0,COUNTIF($A$13:$A$212,A87)))</f>
        <v>0</v>
      </c>
      <c r="L87" s="4" t="n">
        <f aca="false">IF(COUNTA(A87:J87)=0,0,1)</f>
        <v>0</v>
      </c>
      <c r="M87" s="4" t="n">
        <f aca="false">IF(L87=0,0,IF(OR(A87="",NOT(ISNUMBER(B87)),C87="",NOT(ISNUMBER(F87)),F87&lt;0,J87="",K87&lt;&gt;1),1,0))</f>
        <v>0</v>
      </c>
    </row>
    <row r="88" customFormat="false" ht="15" hidden="false" customHeight="true" outlineLevel="0" collapsed="false">
      <c r="A88" s="12"/>
      <c r="B88" s="14"/>
      <c r="C88" s="12"/>
      <c r="D88" s="12"/>
      <c r="E88" s="12"/>
      <c r="F88" s="15"/>
      <c r="G88" s="12"/>
      <c r="H88" s="12"/>
      <c r="I88" s="12"/>
      <c r="J88" s="12"/>
      <c r="K88" s="4" t="n">
        <f aca="false">IF(COUNTA(A88:J88)=0,0,IF(A88="",0,COUNTIF($A$13:$A$212,A88)))</f>
        <v>0</v>
      </c>
      <c r="L88" s="4" t="n">
        <f aca="false">IF(COUNTA(A88:J88)=0,0,1)</f>
        <v>0</v>
      </c>
      <c r="M88" s="4" t="n">
        <f aca="false">IF(L88=0,0,IF(OR(A88="",NOT(ISNUMBER(B88)),C88="",NOT(ISNUMBER(F88)),F88&lt;0,J88="",K88&lt;&gt;1),1,0))</f>
        <v>0</v>
      </c>
    </row>
    <row r="89" customFormat="false" ht="15" hidden="false" customHeight="true" outlineLevel="0" collapsed="false">
      <c r="A89" s="12"/>
      <c r="B89" s="14"/>
      <c r="C89" s="12"/>
      <c r="D89" s="12"/>
      <c r="E89" s="12"/>
      <c r="F89" s="15"/>
      <c r="G89" s="12"/>
      <c r="H89" s="12"/>
      <c r="I89" s="12"/>
      <c r="J89" s="12"/>
      <c r="K89" s="4" t="n">
        <f aca="false">IF(COUNTA(A89:J89)=0,0,IF(A89="",0,COUNTIF($A$13:$A$212,A89)))</f>
        <v>0</v>
      </c>
      <c r="L89" s="4" t="n">
        <f aca="false">IF(COUNTA(A89:J89)=0,0,1)</f>
        <v>0</v>
      </c>
      <c r="M89" s="4" t="n">
        <f aca="false">IF(L89=0,0,IF(OR(A89="",NOT(ISNUMBER(B89)),C89="",NOT(ISNUMBER(F89)),F89&lt;0,J89="",K89&lt;&gt;1),1,0))</f>
        <v>0</v>
      </c>
    </row>
    <row r="90" customFormat="false" ht="15" hidden="false" customHeight="true" outlineLevel="0" collapsed="false">
      <c r="A90" s="12"/>
      <c r="B90" s="14"/>
      <c r="C90" s="12"/>
      <c r="D90" s="12"/>
      <c r="E90" s="12"/>
      <c r="F90" s="15"/>
      <c r="G90" s="12"/>
      <c r="H90" s="12"/>
      <c r="I90" s="12"/>
      <c r="J90" s="12"/>
      <c r="K90" s="4" t="n">
        <f aca="false">IF(COUNTA(A90:J90)=0,0,IF(A90="",0,COUNTIF($A$13:$A$212,A90)))</f>
        <v>0</v>
      </c>
      <c r="L90" s="4" t="n">
        <f aca="false">IF(COUNTA(A90:J90)=0,0,1)</f>
        <v>0</v>
      </c>
      <c r="M90" s="4" t="n">
        <f aca="false">IF(L90=0,0,IF(OR(A90="",NOT(ISNUMBER(B90)),C90="",NOT(ISNUMBER(F90)),F90&lt;0,J90="",K90&lt;&gt;1),1,0))</f>
        <v>0</v>
      </c>
    </row>
    <row r="91" customFormat="false" ht="15" hidden="false" customHeight="true" outlineLevel="0" collapsed="false">
      <c r="A91" s="12"/>
      <c r="B91" s="14"/>
      <c r="C91" s="12"/>
      <c r="D91" s="12"/>
      <c r="E91" s="12"/>
      <c r="F91" s="15"/>
      <c r="G91" s="12"/>
      <c r="H91" s="12"/>
      <c r="I91" s="12"/>
      <c r="J91" s="12"/>
      <c r="K91" s="4" t="n">
        <f aca="false">IF(COUNTA(A91:J91)=0,0,IF(A91="",0,COUNTIF($A$13:$A$212,A91)))</f>
        <v>0</v>
      </c>
      <c r="L91" s="4" t="n">
        <f aca="false">IF(COUNTA(A91:J91)=0,0,1)</f>
        <v>0</v>
      </c>
      <c r="M91" s="4" t="n">
        <f aca="false">IF(L91=0,0,IF(OR(A91="",NOT(ISNUMBER(B91)),C91="",NOT(ISNUMBER(F91)),F91&lt;0,J91="",K91&lt;&gt;1),1,0))</f>
        <v>0</v>
      </c>
    </row>
    <row r="92" customFormat="false" ht="15" hidden="false" customHeight="true" outlineLevel="0" collapsed="false">
      <c r="A92" s="12"/>
      <c r="B92" s="14"/>
      <c r="C92" s="12"/>
      <c r="D92" s="12"/>
      <c r="E92" s="12"/>
      <c r="F92" s="15"/>
      <c r="G92" s="12"/>
      <c r="H92" s="12"/>
      <c r="I92" s="12"/>
      <c r="J92" s="12"/>
      <c r="K92" s="4" t="n">
        <f aca="false">IF(COUNTA(A92:J92)=0,0,IF(A92="",0,COUNTIF($A$13:$A$212,A92)))</f>
        <v>0</v>
      </c>
      <c r="L92" s="4" t="n">
        <f aca="false">IF(COUNTA(A92:J92)=0,0,1)</f>
        <v>0</v>
      </c>
      <c r="M92" s="4" t="n">
        <f aca="false">IF(L92=0,0,IF(OR(A92="",NOT(ISNUMBER(B92)),C92="",NOT(ISNUMBER(F92)),F92&lt;0,J92="",K92&lt;&gt;1),1,0))</f>
        <v>0</v>
      </c>
    </row>
    <row r="93" customFormat="false" ht="15" hidden="false" customHeight="true" outlineLevel="0" collapsed="false">
      <c r="A93" s="12"/>
      <c r="B93" s="14"/>
      <c r="C93" s="12"/>
      <c r="D93" s="12"/>
      <c r="E93" s="12"/>
      <c r="F93" s="15"/>
      <c r="G93" s="12"/>
      <c r="H93" s="12"/>
      <c r="I93" s="12"/>
      <c r="J93" s="12"/>
      <c r="K93" s="4" t="n">
        <f aca="false">IF(COUNTA(A93:J93)=0,0,IF(A93="",0,COUNTIF($A$13:$A$212,A93)))</f>
        <v>0</v>
      </c>
      <c r="L93" s="4" t="n">
        <f aca="false">IF(COUNTA(A93:J93)=0,0,1)</f>
        <v>0</v>
      </c>
      <c r="M93" s="4" t="n">
        <f aca="false">IF(L93=0,0,IF(OR(A93="",NOT(ISNUMBER(B93)),C93="",NOT(ISNUMBER(F93)),F93&lt;0,J93="",K93&lt;&gt;1),1,0))</f>
        <v>0</v>
      </c>
    </row>
    <row r="94" customFormat="false" ht="15" hidden="false" customHeight="true" outlineLevel="0" collapsed="false">
      <c r="A94" s="12"/>
      <c r="B94" s="14"/>
      <c r="C94" s="12"/>
      <c r="D94" s="12"/>
      <c r="E94" s="12"/>
      <c r="F94" s="15"/>
      <c r="G94" s="12"/>
      <c r="H94" s="12"/>
      <c r="I94" s="12"/>
      <c r="J94" s="12"/>
      <c r="K94" s="4" t="n">
        <f aca="false">IF(COUNTA(A94:J94)=0,0,IF(A94="",0,COUNTIF($A$13:$A$212,A94)))</f>
        <v>0</v>
      </c>
      <c r="L94" s="4" t="n">
        <f aca="false">IF(COUNTA(A94:J94)=0,0,1)</f>
        <v>0</v>
      </c>
      <c r="M94" s="4" t="n">
        <f aca="false">IF(L94=0,0,IF(OR(A94="",NOT(ISNUMBER(B94)),C94="",NOT(ISNUMBER(F94)),F94&lt;0,J94="",K94&lt;&gt;1),1,0))</f>
        <v>0</v>
      </c>
    </row>
    <row r="95" customFormat="false" ht="15" hidden="false" customHeight="true" outlineLevel="0" collapsed="false">
      <c r="A95" s="12"/>
      <c r="B95" s="14"/>
      <c r="C95" s="12"/>
      <c r="D95" s="12"/>
      <c r="E95" s="12"/>
      <c r="F95" s="15"/>
      <c r="G95" s="12"/>
      <c r="H95" s="12"/>
      <c r="I95" s="12"/>
      <c r="J95" s="12"/>
      <c r="K95" s="4" t="n">
        <f aca="false">IF(COUNTA(A95:J95)=0,0,IF(A95="",0,COUNTIF($A$13:$A$212,A95)))</f>
        <v>0</v>
      </c>
      <c r="L95" s="4" t="n">
        <f aca="false">IF(COUNTA(A95:J95)=0,0,1)</f>
        <v>0</v>
      </c>
      <c r="M95" s="4" t="n">
        <f aca="false">IF(L95=0,0,IF(OR(A95="",NOT(ISNUMBER(B95)),C95="",NOT(ISNUMBER(F95)),F95&lt;0,J95="",K95&lt;&gt;1),1,0))</f>
        <v>0</v>
      </c>
    </row>
    <row r="96" customFormat="false" ht="15" hidden="false" customHeight="true" outlineLevel="0" collapsed="false">
      <c r="A96" s="12"/>
      <c r="B96" s="14"/>
      <c r="C96" s="12"/>
      <c r="D96" s="12"/>
      <c r="E96" s="12"/>
      <c r="F96" s="15"/>
      <c r="G96" s="12"/>
      <c r="H96" s="12"/>
      <c r="I96" s="12"/>
      <c r="J96" s="12"/>
      <c r="K96" s="4" t="n">
        <f aca="false">IF(COUNTA(A96:J96)=0,0,IF(A96="",0,COUNTIF($A$13:$A$212,A96)))</f>
        <v>0</v>
      </c>
      <c r="L96" s="4" t="n">
        <f aca="false">IF(COUNTA(A96:J96)=0,0,1)</f>
        <v>0</v>
      </c>
      <c r="M96" s="4" t="n">
        <f aca="false">IF(L96=0,0,IF(OR(A96="",NOT(ISNUMBER(B96)),C96="",NOT(ISNUMBER(F96)),F96&lt;0,J96="",K96&lt;&gt;1),1,0))</f>
        <v>0</v>
      </c>
    </row>
    <row r="97" customFormat="false" ht="15" hidden="false" customHeight="true" outlineLevel="0" collapsed="false">
      <c r="A97" s="12"/>
      <c r="B97" s="14"/>
      <c r="C97" s="12"/>
      <c r="D97" s="12"/>
      <c r="E97" s="12"/>
      <c r="F97" s="15"/>
      <c r="G97" s="12"/>
      <c r="H97" s="12"/>
      <c r="I97" s="12"/>
      <c r="J97" s="12"/>
      <c r="K97" s="4" t="n">
        <f aca="false">IF(COUNTA(A97:J97)=0,0,IF(A97="",0,COUNTIF($A$13:$A$212,A97)))</f>
        <v>0</v>
      </c>
      <c r="L97" s="4" t="n">
        <f aca="false">IF(COUNTA(A97:J97)=0,0,1)</f>
        <v>0</v>
      </c>
      <c r="M97" s="4" t="n">
        <f aca="false">IF(L97=0,0,IF(OR(A97="",NOT(ISNUMBER(B97)),C97="",NOT(ISNUMBER(F97)),F97&lt;0,J97="",K97&lt;&gt;1),1,0))</f>
        <v>0</v>
      </c>
    </row>
    <row r="98" customFormat="false" ht="15" hidden="false" customHeight="true" outlineLevel="0" collapsed="false">
      <c r="A98" s="12"/>
      <c r="B98" s="14"/>
      <c r="C98" s="12"/>
      <c r="D98" s="12"/>
      <c r="E98" s="12"/>
      <c r="F98" s="15"/>
      <c r="G98" s="12"/>
      <c r="H98" s="12"/>
      <c r="I98" s="12"/>
      <c r="J98" s="12"/>
      <c r="K98" s="4" t="n">
        <f aca="false">IF(COUNTA(A98:J98)=0,0,IF(A98="",0,COUNTIF($A$13:$A$212,A98)))</f>
        <v>0</v>
      </c>
      <c r="L98" s="4" t="n">
        <f aca="false">IF(COUNTA(A98:J98)=0,0,1)</f>
        <v>0</v>
      </c>
      <c r="M98" s="4" t="n">
        <f aca="false">IF(L98=0,0,IF(OR(A98="",NOT(ISNUMBER(B98)),C98="",NOT(ISNUMBER(F98)),F98&lt;0,J98="",K98&lt;&gt;1),1,0))</f>
        <v>0</v>
      </c>
    </row>
    <row r="99" customFormat="false" ht="15" hidden="false" customHeight="true" outlineLevel="0" collapsed="false">
      <c r="A99" s="12"/>
      <c r="B99" s="14"/>
      <c r="C99" s="12"/>
      <c r="D99" s="12"/>
      <c r="E99" s="12"/>
      <c r="F99" s="15"/>
      <c r="G99" s="12"/>
      <c r="H99" s="12"/>
      <c r="I99" s="12"/>
      <c r="J99" s="12"/>
      <c r="K99" s="4" t="n">
        <f aca="false">IF(COUNTA(A99:J99)=0,0,IF(A99="",0,COUNTIF($A$13:$A$212,A99)))</f>
        <v>0</v>
      </c>
      <c r="L99" s="4" t="n">
        <f aca="false">IF(COUNTA(A99:J99)=0,0,1)</f>
        <v>0</v>
      </c>
      <c r="M99" s="4" t="n">
        <f aca="false">IF(L99=0,0,IF(OR(A99="",NOT(ISNUMBER(B99)),C99="",NOT(ISNUMBER(F99)),F99&lt;0,J99="",K99&lt;&gt;1),1,0))</f>
        <v>0</v>
      </c>
    </row>
    <row r="100" customFormat="false" ht="15" hidden="false" customHeight="true" outlineLevel="0" collapsed="false">
      <c r="A100" s="12"/>
      <c r="B100" s="14"/>
      <c r="C100" s="12"/>
      <c r="D100" s="12"/>
      <c r="E100" s="12"/>
      <c r="F100" s="15"/>
      <c r="G100" s="12"/>
      <c r="H100" s="12"/>
      <c r="I100" s="12"/>
      <c r="J100" s="12"/>
      <c r="K100" s="4" t="n">
        <f aca="false">IF(COUNTA(A100:J100)=0,0,IF(A100="",0,COUNTIF($A$13:$A$212,A100)))</f>
        <v>0</v>
      </c>
      <c r="L100" s="4" t="n">
        <f aca="false">IF(COUNTA(A100:J100)=0,0,1)</f>
        <v>0</v>
      </c>
      <c r="M100" s="4" t="n">
        <f aca="false">IF(L100=0,0,IF(OR(A100="",NOT(ISNUMBER(B100)),C100="",NOT(ISNUMBER(F100)),F100&lt;0,J100="",K100&lt;&gt;1),1,0))</f>
        <v>0</v>
      </c>
    </row>
    <row r="101" customFormat="false" ht="15" hidden="false" customHeight="true" outlineLevel="0" collapsed="false">
      <c r="A101" s="12"/>
      <c r="B101" s="14"/>
      <c r="C101" s="12"/>
      <c r="D101" s="12"/>
      <c r="E101" s="12"/>
      <c r="F101" s="15"/>
      <c r="G101" s="12"/>
      <c r="H101" s="12"/>
      <c r="I101" s="12"/>
      <c r="J101" s="12"/>
      <c r="K101" s="4" t="n">
        <f aca="false">IF(COUNTA(A101:J101)=0,0,IF(A101="",0,COUNTIF($A$13:$A$212,A101)))</f>
        <v>0</v>
      </c>
      <c r="L101" s="4" t="n">
        <f aca="false">IF(COUNTA(A101:J101)=0,0,1)</f>
        <v>0</v>
      </c>
      <c r="M101" s="4" t="n">
        <f aca="false">IF(L101=0,0,IF(OR(A101="",NOT(ISNUMBER(B101)),C101="",NOT(ISNUMBER(F101)),F101&lt;0,J101="",K101&lt;&gt;1),1,0))</f>
        <v>0</v>
      </c>
    </row>
    <row r="102" customFormat="false" ht="15" hidden="false" customHeight="true" outlineLevel="0" collapsed="false">
      <c r="A102" s="12"/>
      <c r="B102" s="14"/>
      <c r="C102" s="12"/>
      <c r="D102" s="12"/>
      <c r="E102" s="12"/>
      <c r="F102" s="15"/>
      <c r="G102" s="12"/>
      <c r="H102" s="12"/>
      <c r="I102" s="12"/>
      <c r="J102" s="12"/>
      <c r="K102" s="4" t="n">
        <f aca="false">IF(COUNTA(A102:J102)=0,0,IF(A102="",0,COUNTIF($A$13:$A$212,A102)))</f>
        <v>0</v>
      </c>
      <c r="L102" s="4" t="n">
        <f aca="false">IF(COUNTA(A102:J102)=0,0,1)</f>
        <v>0</v>
      </c>
      <c r="M102" s="4" t="n">
        <f aca="false">IF(L102=0,0,IF(OR(A102="",NOT(ISNUMBER(B102)),C102="",NOT(ISNUMBER(F102)),F102&lt;0,J102="",K102&lt;&gt;1),1,0))</f>
        <v>0</v>
      </c>
    </row>
    <row r="103" customFormat="false" ht="15" hidden="false" customHeight="true" outlineLevel="0" collapsed="false">
      <c r="A103" s="12"/>
      <c r="B103" s="14"/>
      <c r="C103" s="12"/>
      <c r="D103" s="12"/>
      <c r="E103" s="12"/>
      <c r="F103" s="15"/>
      <c r="G103" s="12"/>
      <c r="H103" s="12"/>
      <c r="I103" s="12"/>
      <c r="J103" s="12"/>
      <c r="K103" s="4" t="n">
        <f aca="false">IF(COUNTA(A103:J103)=0,0,IF(A103="",0,COUNTIF($A$13:$A$212,A103)))</f>
        <v>0</v>
      </c>
      <c r="L103" s="4" t="n">
        <f aca="false">IF(COUNTA(A103:J103)=0,0,1)</f>
        <v>0</v>
      </c>
      <c r="M103" s="4" t="n">
        <f aca="false">IF(L103=0,0,IF(OR(A103="",NOT(ISNUMBER(B103)),C103="",NOT(ISNUMBER(F103)),F103&lt;0,J103="",K103&lt;&gt;1),1,0))</f>
        <v>0</v>
      </c>
    </row>
    <row r="104" customFormat="false" ht="15" hidden="false" customHeight="true" outlineLevel="0" collapsed="false">
      <c r="A104" s="12"/>
      <c r="B104" s="14"/>
      <c r="C104" s="12"/>
      <c r="D104" s="12"/>
      <c r="E104" s="12"/>
      <c r="F104" s="15"/>
      <c r="G104" s="12"/>
      <c r="H104" s="12"/>
      <c r="I104" s="12"/>
      <c r="J104" s="12"/>
      <c r="K104" s="4" t="n">
        <f aca="false">IF(COUNTA(A104:J104)=0,0,IF(A104="",0,COUNTIF($A$13:$A$212,A104)))</f>
        <v>0</v>
      </c>
      <c r="L104" s="4" t="n">
        <f aca="false">IF(COUNTA(A104:J104)=0,0,1)</f>
        <v>0</v>
      </c>
      <c r="M104" s="4" t="n">
        <f aca="false">IF(L104=0,0,IF(OR(A104="",NOT(ISNUMBER(B104)),C104="",NOT(ISNUMBER(F104)),F104&lt;0,J104="",K104&lt;&gt;1),1,0))</f>
        <v>0</v>
      </c>
    </row>
    <row r="105" customFormat="false" ht="15" hidden="false" customHeight="true" outlineLevel="0" collapsed="false">
      <c r="A105" s="12"/>
      <c r="B105" s="14"/>
      <c r="C105" s="12"/>
      <c r="D105" s="12"/>
      <c r="E105" s="12"/>
      <c r="F105" s="15"/>
      <c r="G105" s="12"/>
      <c r="H105" s="12"/>
      <c r="I105" s="12"/>
      <c r="J105" s="12"/>
      <c r="K105" s="4" t="n">
        <f aca="false">IF(COUNTA(A105:J105)=0,0,IF(A105="",0,COUNTIF($A$13:$A$212,A105)))</f>
        <v>0</v>
      </c>
      <c r="L105" s="4" t="n">
        <f aca="false">IF(COUNTA(A105:J105)=0,0,1)</f>
        <v>0</v>
      </c>
      <c r="M105" s="4" t="n">
        <f aca="false">IF(L105=0,0,IF(OR(A105="",NOT(ISNUMBER(B105)),C105="",NOT(ISNUMBER(F105)),F105&lt;0,J105="",K105&lt;&gt;1),1,0))</f>
        <v>0</v>
      </c>
    </row>
    <row r="106" customFormat="false" ht="15" hidden="false" customHeight="true" outlineLevel="0" collapsed="false">
      <c r="A106" s="12"/>
      <c r="B106" s="14"/>
      <c r="C106" s="12"/>
      <c r="D106" s="12"/>
      <c r="E106" s="12"/>
      <c r="F106" s="15"/>
      <c r="G106" s="12"/>
      <c r="H106" s="12"/>
      <c r="I106" s="12"/>
      <c r="J106" s="12"/>
      <c r="K106" s="4" t="n">
        <f aca="false">IF(COUNTA(A106:J106)=0,0,IF(A106="",0,COUNTIF($A$13:$A$212,A106)))</f>
        <v>0</v>
      </c>
      <c r="L106" s="4" t="n">
        <f aca="false">IF(COUNTA(A106:J106)=0,0,1)</f>
        <v>0</v>
      </c>
      <c r="M106" s="4" t="n">
        <f aca="false">IF(L106=0,0,IF(OR(A106="",NOT(ISNUMBER(B106)),C106="",NOT(ISNUMBER(F106)),F106&lt;0,J106="",K106&lt;&gt;1),1,0))</f>
        <v>0</v>
      </c>
    </row>
    <row r="107" customFormat="false" ht="15" hidden="false" customHeight="true" outlineLevel="0" collapsed="false">
      <c r="A107" s="12"/>
      <c r="B107" s="14"/>
      <c r="C107" s="12"/>
      <c r="D107" s="12"/>
      <c r="E107" s="12"/>
      <c r="F107" s="15"/>
      <c r="G107" s="12"/>
      <c r="H107" s="12"/>
      <c r="I107" s="12"/>
      <c r="J107" s="12"/>
      <c r="K107" s="4" t="n">
        <f aca="false">IF(COUNTA(A107:J107)=0,0,IF(A107="",0,COUNTIF($A$13:$A$212,A107)))</f>
        <v>0</v>
      </c>
      <c r="L107" s="4" t="n">
        <f aca="false">IF(COUNTA(A107:J107)=0,0,1)</f>
        <v>0</v>
      </c>
      <c r="M107" s="4" t="n">
        <f aca="false">IF(L107=0,0,IF(OR(A107="",NOT(ISNUMBER(B107)),C107="",NOT(ISNUMBER(F107)),F107&lt;0,J107="",K107&lt;&gt;1),1,0))</f>
        <v>0</v>
      </c>
    </row>
    <row r="108" customFormat="false" ht="15" hidden="false" customHeight="true" outlineLevel="0" collapsed="false">
      <c r="A108" s="12"/>
      <c r="B108" s="14"/>
      <c r="C108" s="12"/>
      <c r="D108" s="12"/>
      <c r="E108" s="12"/>
      <c r="F108" s="15"/>
      <c r="G108" s="12"/>
      <c r="H108" s="12"/>
      <c r="I108" s="12"/>
      <c r="J108" s="12"/>
      <c r="K108" s="4" t="n">
        <f aca="false">IF(COUNTA(A108:J108)=0,0,IF(A108="",0,COUNTIF($A$13:$A$212,A108)))</f>
        <v>0</v>
      </c>
      <c r="L108" s="4" t="n">
        <f aca="false">IF(COUNTA(A108:J108)=0,0,1)</f>
        <v>0</v>
      </c>
      <c r="M108" s="4" t="n">
        <f aca="false">IF(L108=0,0,IF(OR(A108="",NOT(ISNUMBER(B108)),C108="",NOT(ISNUMBER(F108)),F108&lt;0,J108="",K108&lt;&gt;1),1,0))</f>
        <v>0</v>
      </c>
    </row>
    <row r="109" customFormat="false" ht="15" hidden="false" customHeight="true" outlineLevel="0" collapsed="false">
      <c r="A109" s="12"/>
      <c r="B109" s="14"/>
      <c r="C109" s="12"/>
      <c r="D109" s="12"/>
      <c r="E109" s="12"/>
      <c r="F109" s="15"/>
      <c r="G109" s="12"/>
      <c r="H109" s="12"/>
      <c r="I109" s="12"/>
      <c r="J109" s="12"/>
      <c r="K109" s="4" t="n">
        <f aca="false">IF(COUNTA(A109:J109)=0,0,IF(A109="",0,COUNTIF($A$13:$A$212,A109)))</f>
        <v>0</v>
      </c>
      <c r="L109" s="4" t="n">
        <f aca="false">IF(COUNTA(A109:J109)=0,0,1)</f>
        <v>0</v>
      </c>
      <c r="M109" s="4" t="n">
        <f aca="false">IF(L109=0,0,IF(OR(A109="",NOT(ISNUMBER(B109)),C109="",NOT(ISNUMBER(F109)),F109&lt;0,J109="",K109&lt;&gt;1),1,0))</f>
        <v>0</v>
      </c>
    </row>
    <row r="110" customFormat="false" ht="15" hidden="false" customHeight="true" outlineLevel="0" collapsed="false">
      <c r="A110" s="12"/>
      <c r="B110" s="14"/>
      <c r="C110" s="12"/>
      <c r="D110" s="12"/>
      <c r="E110" s="12"/>
      <c r="F110" s="15"/>
      <c r="G110" s="12"/>
      <c r="H110" s="12"/>
      <c r="I110" s="12"/>
      <c r="J110" s="12"/>
      <c r="K110" s="4" t="n">
        <f aca="false">IF(COUNTA(A110:J110)=0,0,IF(A110="",0,COUNTIF($A$13:$A$212,A110)))</f>
        <v>0</v>
      </c>
      <c r="L110" s="4" t="n">
        <f aca="false">IF(COUNTA(A110:J110)=0,0,1)</f>
        <v>0</v>
      </c>
      <c r="M110" s="4" t="n">
        <f aca="false">IF(L110=0,0,IF(OR(A110="",NOT(ISNUMBER(B110)),C110="",NOT(ISNUMBER(F110)),F110&lt;0,J110="",K110&lt;&gt;1),1,0))</f>
        <v>0</v>
      </c>
    </row>
    <row r="111" customFormat="false" ht="15" hidden="false" customHeight="true" outlineLevel="0" collapsed="false">
      <c r="A111" s="12"/>
      <c r="B111" s="14"/>
      <c r="C111" s="12"/>
      <c r="D111" s="12"/>
      <c r="E111" s="12"/>
      <c r="F111" s="15"/>
      <c r="G111" s="12"/>
      <c r="H111" s="12"/>
      <c r="I111" s="12"/>
      <c r="J111" s="12"/>
      <c r="K111" s="4" t="n">
        <f aca="false">IF(COUNTA(A111:J111)=0,0,IF(A111="",0,COUNTIF($A$13:$A$212,A111)))</f>
        <v>0</v>
      </c>
      <c r="L111" s="4" t="n">
        <f aca="false">IF(COUNTA(A111:J111)=0,0,1)</f>
        <v>0</v>
      </c>
      <c r="M111" s="4" t="n">
        <f aca="false">IF(L111=0,0,IF(OR(A111="",NOT(ISNUMBER(B111)),C111="",NOT(ISNUMBER(F111)),F111&lt;0,J111="",K111&lt;&gt;1),1,0))</f>
        <v>0</v>
      </c>
    </row>
    <row r="112" customFormat="false" ht="15" hidden="false" customHeight="true" outlineLevel="0" collapsed="false">
      <c r="A112" s="12"/>
      <c r="B112" s="14"/>
      <c r="C112" s="12"/>
      <c r="D112" s="12"/>
      <c r="E112" s="12"/>
      <c r="F112" s="15"/>
      <c r="G112" s="12"/>
      <c r="H112" s="12"/>
      <c r="I112" s="12"/>
      <c r="J112" s="12"/>
      <c r="K112" s="4" t="n">
        <f aca="false">IF(COUNTA(A112:J112)=0,0,IF(A112="",0,COUNTIF($A$13:$A$212,A112)))</f>
        <v>0</v>
      </c>
      <c r="L112" s="4" t="n">
        <f aca="false">IF(COUNTA(A112:J112)=0,0,1)</f>
        <v>0</v>
      </c>
      <c r="M112" s="4" t="n">
        <f aca="false">IF(L112=0,0,IF(OR(A112="",NOT(ISNUMBER(B112)),C112="",NOT(ISNUMBER(F112)),F112&lt;0,J112="",K112&lt;&gt;1),1,0))</f>
        <v>0</v>
      </c>
    </row>
    <row r="113" customFormat="false" ht="15" hidden="false" customHeight="true" outlineLevel="0" collapsed="false">
      <c r="A113" s="12"/>
      <c r="B113" s="14"/>
      <c r="C113" s="12"/>
      <c r="D113" s="12"/>
      <c r="E113" s="12"/>
      <c r="F113" s="15"/>
      <c r="G113" s="12"/>
      <c r="H113" s="12"/>
      <c r="I113" s="12"/>
      <c r="J113" s="12"/>
      <c r="K113" s="4" t="n">
        <f aca="false">IF(COUNTA(A113:J113)=0,0,IF(A113="",0,COUNTIF($A$13:$A$212,A113)))</f>
        <v>0</v>
      </c>
      <c r="L113" s="4" t="n">
        <f aca="false">IF(COUNTA(A113:J113)=0,0,1)</f>
        <v>0</v>
      </c>
      <c r="M113" s="4" t="n">
        <f aca="false">IF(L113=0,0,IF(OR(A113="",NOT(ISNUMBER(B113)),C113="",NOT(ISNUMBER(F113)),F113&lt;0,J113="",K113&lt;&gt;1),1,0))</f>
        <v>0</v>
      </c>
    </row>
    <row r="114" customFormat="false" ht="15" hidden="false" customHeight="true" outlineLevel="0" collapsed="false">
      <c r="A114" s="12"/>
      <c r="B114" s="14"/>
      <c r="C114" s="12"/>
      <c r="D114" s="12"/>
      <c r="E114" s="12"/>
      <c r="F114" s="15"/>
      <c r="G114" s="12"/>
      <c r="H114" s="12"/>
      <c r="I114" s="12"/>
      <c r="J114" s="12"/>
      <c r="K114" s="4" t="n">
        <f aca="false">IF(COUNTA(A114:J114)=0,0,IF(A114="",0,COUNTIF($A$13:$A$212,A114)))</f>
        <v>0</v>
      </c>
      <c r="L114" s="4" t="n">
        <f aca="false">IF(COUNTA(A114:J114)=0,0,1)</f>
        <v>0</v>
      </c>
      <c r="M114" s="4" t="n">
        <f aca="false">IF(L114=0,0,IF(OR(A114="",NOT(ISNUMBER(B114)),C114="",NOT(ISNUMBER(F114)),F114&lt;0,J114="",K114&lt;&gt;1),1,0))</f>
        <v>0</v>
      </c>
    </row>
    <row r="115" customFormat="false" ht="15" hidden="false" customHeight="true" outlineLevel="0" collapsed="false">
      <c r="A115" s="12"/>
      <c r="B115" s="14"/>
      <c r="C115" s="12"/>
      <c r="D115" s="12"/>
      <c r="E115" s="12"/>
      <c r="F115" s="15"/>
      <c r="G115" s="12"/>
      <c r="H115" s="12"/>
      <c r="I115" s="12"/>
      <c r="J115" s="12"/>
      <c r="K115" s="4" t="n">
        <f aca="false">IF(COUNTA(A115:J115)=0,0,IF(A115="",0,COUNTIF($A$13:$A$212,A115)))</f>
        <v>0</v>
      </c>
      <c r="L115" s="4" t="n">
        <f aca="false">IF(COUNTA(A115:J115)=0,0,1)</f>
        <v>0</v>
      </c>
      <c r="M115" s="4" t="n">
        <f aca="false">IF(L115=0,0,IF(OR(A115="",NOT(ISNUMBER(B115)),C115="",NOT(ISNUMBER(F115)),F115&lt;0,J115="",K115&lt;&gt;1),1,0))</f>
        <v>0</v>
      </c>
    </row>
    <row r="116" customFormat="false" ht="15" hidden="false" customHeight="true" outlineLevel="0" collapsed="false">
      <c r="A116" s="12"/>
      <c r="B116" s="14"/>
      <c r="C116" s="12"/>
      <c r="D116" s="12"/>
      <c r="E116" s="12"/>
      <c r="F116" s="15"/>
      <c r="G116" s="12"/>
      <c r="H116" s="12"/>
      <c r="I116" s="12"/>
      <c r="J116" s="12"/>
      <c r="K116" s="4" t="n">
        <f aca="false">IF(COUNTA(A116:J116)=0,0,IF(A116="",0,COUNTIF($A$13:$A$212,A116)))</f>
        <v>0</v>
      </c>
      <c r="L116" s="4" t="n">
        <f aca="false">IF(COUNTA(A116:J116)=0,0,1)</f>
        <v>0</v>
      </c>
      <c r="M116" s="4" t="n">
        <f aca="false">IF(L116=0,0,IF(OR(A116="",NOT(ISNUMBER(B116)),C116="",NOT(ISNUMBER(F116)),F116&lt;0,J116="",K116&lt;&gt;1),1,0))</f>
        <v>0</v>
      </c>
    </row>
    <row r="117" customFormat="false" ht="15" hidden="false" customHeight="true" outlineLevel="0" collapsed="false">
      <c r="A117" s="12"/>
      <c r="B117" s="14"/>
      <c r="C117" s="12"/>
      <c r="D117" s="12"/>
      <c r="E117" s="12"/>
      <c r="F117" s="15"/>
      <c r="G117" s="12"/>
      <c r="H117" s="12"/>
      <c r="I117" s="12"/>
      <c r="J117" s="12"/>
      <c r="K117" s="4" t="n">
        <f aca="false">IF(COUNTA(A117:J117)=0,0,IF(A117="",0,COUNTIF($A$13:$A$212,A117)))</f>
        <v>0</v>
      </c>
      <c r="L117" s="4" t="n">
        <f aca="false">IF(COUNTA(A117:J117)=0,0,1)</f>
        <v>0</v>
      </c>
      <c r="M117" s="4" t="n">
        <f aca="false">IF(L117=0,0,IF(OR(A117="",NOT(ISNUMBER(B117)),C117="",NOT(ISNUMBER(F117)),F117&lt;0,J117="",K117&lt;&gt;1),1,0))</f>
        <v>0</v>
      </c>
    </row>
    <row r="118" customFormat="false" ht="15" hidden="false" customHeight="true" outlineLevel="0" collapsed="false">
      <c r="A118" s="12"/>
      <c r="B118" s="14"/>
      <c r="C118" s="12"/>
      <c r="D118" s="12"/>
      <c r="E118" s="12"/>
      <c r="F118" s="15"/>
      <c r="G118" s="12"/>
      <c r="H118" s="12"/>
      <c r="I118" s="12"/>
      <c r="J118" s="12"/>
      <c r="K118" s="4" t="n">
        <f aca="false">IF(COUNTA(A118:J118)=0,0,IF(A118="",0,COUNTIF($A$13:$A$212,A118)))</f>
        <v>0</v>
      </c>
      <c r="L118" s="4" t="n">
        <f aca="false">IF(COUNTA(A118:J118)=0,0,1)</f>
        <v>0</v>
      </c>
      <c r="M118" s="4" t="n">
        <f aca="false">IF(L118=0,0,IF(OR(A118="",NOT(ISNUMBER(B118)),C118="",NOT(ISNUMBER(F118)),F118&lt;0,J118="",K118&lt;&gt;1),1,0))</f>
        <v>0</v>
      </c>
    </row>
    <row r="119" customFormat="false" ht="15" hidden="false" customHeight="true" outlineLevel="0" collapsed="false">
      <c r="A119" s="12"/>
      <c r="B119" s="14"/>
      <c r="C119" s="12"/>
      <c r="D119" s="12"/>
      <c r="E119" s="12"/>
      <c r="F119" s="15"/>
      <c r="G119" s="12"/>
      <c r="H119" s="12"/>
      <c r="I119" s="12"/>
      <c r="J119" s="12"/>
      <c r="K119" s="4" t="n">
        <f aca="false">IF(COUNTA(A119:J119)=0,0,IF(A119="",0,COUNTIF($A$13:$A$212,A119)))</f>
        <v>0</v>
      </c>
      <c r="L119" s="4" t="n">
        <f aca="false">IF(COUNTA(A119:J119)=0,0,1)</f>
        <v>0</v>
      </c>
      <c r="M119" s="4" t="n">
        <f aca="false">IF(L119=0,0,IF(OR(A119="",NOT(ISNUMBER(B119)),C119="",NOT(ISNUMBER(F119)),F119&lt;0,J119="",K119&lt;&gt;1),1,0))</f>
        <v>0</v>
      </c>
    </row>
    <row r="120" customFormat="false" ht="15" hidden="false" customHeight="true" outlineLevel="0" collapsed="false">
      <c r="A120" s="12"/>
      <c r="B120" s="14"/>
      <c r="C120" s="12"/>
      <c r="D120" s="12"/>
      <c r="E120" s="12"/>
      <c r="F120" s="15"/>
      <c r="G120" s="12"/>
      <c r="H120" s="12"/>
      <c r="I120" s="12"/>
      <c r="J120" s="12"/>
      <c r="K120" s="4" t="n">
        <f aca="false">IF(COUNTA(A120:J120)=0,0,IF(A120="",0,COUNTIF($A$13:$A$212,A120)))</f>
        <v>0</v>
      </c>
      <c r="L120" s="4" t="n">
        <f aca="false">IF(COUNTA(A120:J120)=0,0,1)</f>
        <v>0</v>
      </c>
      <c r="M120" s="4" t="n">
        <f aca="false">IF(L120=0,0,IF(OR(A120="",NOT(ISNUMBER(B120)),C120="",NOT(ISNUMBER(F120)),F120&lt;0,J120="",K120&lt;&gt;1),1,0))</f>
        <v>0</v>
      </c>
    </row>
    <row r="121" customFormat="false" ht="15" hidden="false" customHeight="true" outlineLevel="0" collapsed="false">
      <c r="A121" s="12"/>
      <c r="B121" s="14"/>
      <c r="C121" s="12"/>
      <c r="D121" s="12"/>
      <c r="E121" s="12"/>
      <c r="F121" s="15"/>
      <c r="G121" s="12"/>
      <c r="H121" s="12"/>
      <c r="I121" s="12"/>
      <c r="J121" s="12"/>
      <c r="K121" s="4" t="n">
        <f aca="false">IF(COUNTA(A121:J121)=0,0,IF(A121="",0,COUNTIF($A$13:$A$212,A121)))</f>
        <v>0</v>
      </c>
      <c r="L121" s="4" t="n">
        <f aca="false">IF(COUNTA(A121:J121)=0,0,1)</f>
        <v>0</v>
      </c>
      <c r="M121" s="4" t="n">
        <f aca="false">IF(L121=0,0,IF(OR(A121="",NOT(ISNUMBER(B121)),C121="",NOT(ISNUMBER(F121)),F121&lt;0,J121="",K121&lt;&gt;1),1,0))</f>
        <v>0</v>
      </c>
    </row>
    <row r="122" customFormat="false" ht="15" hidden="false" customHeight="true" outlineLevel="0" collapsed="false">
      <c r="A122" s="12"/>
      <c r="B122" s="14"/>
      <c r="C122" s="12"/>
      <c r="D122" s="12"/>
      <c r="E122" s="12"/>
      <c r="F122" s="15"/>
      <c r="G122" s="12"/>
      <c r="H122" s="12"/>
      <c r="I122" s="12"/>
      <c r="J122" s="12"/>
      <c r="K122" s="4" t="n">
        <f aca="false">IF(COUNTA(A122:J122)=0,0,IF(A122="",0,COUNTIF($A$13:$A$212,A122)))</f>
        <v>0</v>
      </c>
      <c r="L122" s="4" t="n">
        <f aca="false">IF(COUNTA(A122:J122)=0,0,1)</f>
        <v>0</v>
      </c>
      <c r="M122" s="4" t="n">
        <f aca="false">IF(L122=0,0,IF(OR(A122="",NOT(ISNUMBER(B122)),C122="",NOT(ISNUMBER(F122)),F122&lt;0,J122="",K122&lt;&gt;1),1,0))</f>
        <v>0</v>
      </c>
    </row>
    <row r="123" customFormat="false" ht="15" hidden="false" customHeight="true" outlineLevel="0" collapsed="false">
      <c r="A123" s="12"/>
      <c r="B123" s="14"/>
      <c r="C123" s="12"/>
      <c r="D123" s="12"/>
      <c r="E123" s="12"/>
      <c r="F123" s="15"/>
      <c r="G123" s="12"/>
      <c r="H123" s="12"/>
      <c r="I123" s="12"/>
      <c r="J123" s="12"/>
      <c r="K123" s="4" t="n">
        <f aca="false">IF(COUNTA(A123:J123)=0,0,IF(A123="",0,COUNTIF($A$13:$A$212,A123)))</f>
        <v>0</v>
      </c>
      <c r="L123" s="4" t="n">
        <f aca="false">IF(COUNTA(A123:J123)=0,0,1)</f>
        <v>0</v>
      </c>
      <c r="M123" s="4" t="n">
        <f aca="false">IF(L123=0,0,IF(OR(A123="",NOT(ISNUMBER(B123)),C123="",NOT(ISNUMBER(F123)),F123&lt;0,J123="",K123&lt;&gt;1),1,0))</f>
        <v>0</v>
      </c>
    </row>
    <row r="124" customFormat="false" ht="15" hidden="false" customHeight="true" outlineLevel="0" collapsed="false">
      <c r="A124" s="12"/>
      <c r="B124" s="14"/>
      <c r="C124" s="12"/>
      <c r="D124" s="12"/>
      <c r="E124" s="12"/>
      <c r="F124" s="15"/>
      <c r="G124" s="12"/>
      <c r="H124" s="12"/>
      <c r="I124" s="12"/>
      <c r="J124" s="12"/>
      <c r="K124" s="4" t="n">
        <f aca="false">IF(COUNTA(A124:J124)=0,0,IF(A124="",0,COUNTIF($A$13:$A$212,A124)))</f>
        <v>0</v>
      </c>
      <c r="L124" s="4" t="n">
        <f aca="false">IF(COUNTA(A124:J124)=0,0,1)</f>
        <v>0</v>
      </c>
      <c r="M124" s="4" t="n">
        <f aca="false">IF(L124=0,0,IF(OR(A124="",NOT(ISNUMBER(B124)),C124="",NOT(ISNUMBER(F124)),F124&lt;0,J124="",K124&lt;&gt;1),1,0))</f>
        <v>0</v>
      </c>
    </row>
    <row r="125" customFormat="false" ht="15" hidden="false" customHeight="true" outlineLevel="0" collapsed="false">
      <c r="A125" s="12"/>
      <c r="B125" s="14"/>
      <c r="C125" s="12"/>
      <c r="D125" s="12"/>
      <c r="E125" s="12"/>
      <c r="F125" s="15"/>
      <c r="G125" s="12"/>
      <c r="H125" s="12"/>
      <c r="I125" s="12"/>
      <c r="J125" s="12"/>
      <c r="K125" s="4" t="n">
        <f aca="false">IF(COUNTA(A125:J125)=0,0,IF(A125="",0,COUNTIF($A$13:$A$212,A125)))</f>
        <v>0</v>
      </c>
      <c r="L125" s="4" t="n">
        <f aca="false">IF(COUNTA(A125:J125)=0,0,1)</f>
        <v>0</v>
      </c>
      <c r="M125" s="4" t="n">
        <f aca="false">IF(L125=0,0,IF(OR(A125="",NOT(ISNUMBER(B125)),C125="",NOT(ISNUMBER(F125)),F125&lt;0,J125="",K125&lt;&gt;1),1,0))</f>
        <v>0</v>
      </c>
    </row>
    <row r="126" customFormat="false" ht="15" hidden="false" customHeight="true" outlineLevel="0" collapsed="false">
      <c r="A126" s="12"/>
      <c r="B126" s="14"/>
      <c r="C126" s="12"/>
      <c r="D126" s="12"/>
      <c r="E126" s="12"/>
      <c r="F126" s="15"/>
      <c r="G126" s="12"/>
      <c r="H126" s="12"/>
      <c r="I126" s="12"/>
      <c r="J126" s="12"/>
      <c r="K126" s="4" t="n">
        <f aca="false">IF(COUNTA(A126:J126)=0,0,IF(A126="",0,COUNTIF($A$13:$A$212,A126)))</f>
        <v>0</v>
      </c>
      <c r="L126" s="4" t="n">
        <f aca="false">IF(COUNTA(A126:J126)=0,0,1)</f>
        <v>0</v>
      </c>
      <c r="M126" s="4" t="n">
        <f aca="false">IF(L126=0,0,IF(OR(A126="",NOT(ISNUMBER(B126)),C126="",NOT(ISNUMBER(F126)),F126&lt;0,J126="",K126&lt;&gt;1),1,0))</f>
        <v>0</v>
      </c>
    </row>
    <row r="127" customFormat="false" ht="15" hidden="false" customHeight="true" outlineLevel="0" collapsed="false">
      <c r="A127" s="12"/>
      <c r="B127" s="14"/>
      <c r="C127" s="12"/>
      <c r="D127" s="12"/>
      <c r="E127" s="12"/>
      <c r="F127" s="15"/>
      <c r="G127" s="12"/>
      <c r="H127" s="12"/>
      <c r="I127" s="12"/>
      <c r="J127" s="12"/>
      <c r="K127" s="4" t="n">
        <f aca="false">IF(COUNTA(A127:J127)=0,0,IF(A127="",0,COUNTIF($A$13:$A$212,A127)))</f>
        <v>0</v>
      </c>
      <c r="L127" s="4" t="n">
        <f aca="false">IF(COUNTA(A127:J127)=0,0,1)</f>
        <v>0</v>
      </c>
      <c r="M127" s="4" t="n">
        <f aca="false">IF(L127=0,0,IF(OR(A127="",NOT(ISNUMBER(B127)),C127="",NOT(ISNUMBER(F127)),F127&lt;0,J127="",K127&lt;&gt;1),1,0))</f>
        <v>0</v>
      </c>
    </row>
    <row r="128" customFormat="false" ht="15" hidden="false" customHeight="true" outlineLevel="0" collapsed="false">
      <c r="A128" s="12"/>
      <c r="B128" s="14"/>
      <c r="C128" s="12"/>
      <c r="D128" s="12"/>
      <c r="E128" s="12"/>
      <c r="F128" s="15"/>
      <c r="G128" s="12"/>
      <c r="H128" s="12"/>
      <c r="I128" s="12"/>
      <c r="J128" s="12"/>
      <c r="K128" s="4" t="n">
        <f aca="false">IF(COUNTA(A128:J128)=0,0,IF(A128="",0,COUNTIF($A$13:$A$212,A128)))</f>
        <v>0</v>
      </c>
      <c r="L128" s="4" t="n">
        <f aca="false">IF(COUNTA(A128:J128)=0,0,1)</f>
        <v>0</v>
      </c>
      <c r="M128" s="4" t="n">
        <f aca="false">IF(L128=0,0,IF(OR(A128="",NOT(ISNUMBER(B128)),C128="",NOT(ISNUMBER(F128)),F128&lt;0,J128="",K128&lt;&gt;1),1,0))</f>
        <v>0</v>
      </c>
    </row>
    <row r="129" customFormat="false" ht="15" hidden="false" customHeight="true" outlineLevel="0" collapsed="false">
      <c r="A129" s="12"/>
      <c r="B129" s="14"/>
      <c r="C129" s="12"/>
      <c r="D129" s="12"/>
      <c r="E129" s="12"/>
      <c r="F129" s="15"/>
      <c r="G129" s="12"/>
      <c r="H129" s="12"/>
      <c r="I129" s="12"/>
      <c r="J129" s="12"/>
      <c r="K129" s="4" t="n">
        <f aca="false">IF(COUNTA(A129:J129)=0,0,IF(A129="",0,COUNTIF($A$13:$A$212,A129)))</f>
        <v>0</v>
      </c>
      <c r="L129" s="4" t="n">
        <f aca="false">IF(COUNTA(A129:J129)=0,0,1)</f>
        <v>0</v>
      </c>
      <c r="M129" s="4" t="n">
        <f aca="false">IF(L129=0,0,IF(OR(A129="",NOT(ISNUMBER(B129)),C129="",NOT(ISNUMBER(F129)),F129&lt;0,J129="",K129&lt;&gt;1),1,0))</f>
        <v>0</v>
      </c>
    </row>
    <row r="130" customFormat="false" ht="15" hidden="false" customHeight="true" outlineLevel="0" collapsed="false">
      <c r="A130" s="12"/>
      <c r="B130" s="14"/>
      <c r="C130" s="12"/>
      <c r="D130" s="12"/>
      <c r="E130" s="12"/>
      <c r="F130" s="15"/>
      <c r="G130" s="12"/>
      <c r="H130" s="12"/>
      <c r="I130" s="12"/>
      <c r="J130" s="12"/>
      <c r="K130" s="4" t="n">
        <f aca="false">IF(COUNTA(A130:J130)=0,0,IF(A130="",0,COUNTIF($A$13:$A$212,A130)))</f>
        <v>0</v>
      </c>
      <c r="L130" s="4" t="n">
        <f aca="false">IF(COUNTA(A130:J130)=0,0,1)</f>
        <v>0</v>
      </c>
      <c r="M130" s="4" t="n">
        <f aca="false">IF(L130=0,0,IF(OR(A130="",NOT(ISNUMBER(B130)),C130="",NOT(ISNUMBER(F130)),F130&lt;0,J130="",K130&lt;&gt;1),1,0))</f>
        <v>0</v>
      </c>
    </row>
    <row r="131" customFormat="false" ht="15" hidden="false" customHeight="true" outlineLevel="0" collapsed="false">
      <c r="A131" s="12"/>
      <c r="B131" s="14"/>
      <c r="C131" s="12"/>
      <c r="D131" s="12"/>
      <c r="E131" s="12"/>
      <c r="F131" s="15"/>
      <c r="G131" s="12"/>
      <c r="H131" s="12"/>
      <c r="I131" s="12"/>
      <c r="J131" s="12"/>
      <c r="K131" s="4" t="n">
        <f aca="false">IF(COUNTA(A131:J131)=0,0,IF(A131="",0,COUNTIF($A$13:$A$212,A131)))</f>
        <v>0</v>
      </c>
      <c r="L131" s="4" t="n">
        <f aca="false">IF(COUNTA(A131:J131)=0,0,1)</f>
        <v>0</v>
      </c>
      <c r="M131" s="4" t="n">
        <f aca="false">IF(L131=0,0,IF(OR(A131="",NOT(ISNUMBER(B131)),C131="",NOT(ISNUMBER(F131)),F131&lt;0,J131="",K131&lt;&gt;1),1,0))</f>
        <v>0</v>
      </c>
    </row>
    <row r="132" customFormat="false" ht="15" hidden="false" customHeight="true" outlineLevel="0" collapsed="false">
      <c r="A132" s="12"/>
      <c r="B132" s="14"/>
      <c r="C132" s="12"/>
      <c r="D132" s="12"/>
      <c r="E132" s="12"/>
      <c r="F132" s="15"/>
      <c r="G132" s="12"/>
      <c r="H132" s="12"/>
      <c r="I132" s="12"/>
      <c r="J132" s="12"/>
      <c r="K132" s="4" t="n">
        <f aca="false">IF(COUNTA(A132:J132)=0,0,IF(A132="",0,COUNTIF($A$13:$A$212,A132)))</f>
        <v>0</v>
      </c>
      <c r="L132" s="4" t="n">
        <f aca="false">IF(COUNTA(A132:J132)=0,0,1)</f>
        <v>0</v>
      </c>
      <c r="M132" s="4" t="n">
        <f aca="false">IF(L132=0,0,IF(OR(A132="",NOT(ISNUMBER(B132)),C132="",NOT(ISNUMBER(F132)),F132&lt;0,J132="",K132&lt;&gt;1),1,0))</f>
        <v>0</v>
      </c>
    </row>
    <row r="133" customFormat="false" ht="15" hidden="false" customHeight="true" outlineLevel="0" collapsed="false">
      <c r="A133" s="12"/>
      <c r="B133" s="14"/>
      <c r="C133" s="12"/>
      <c r="D133" s="12"/>
      <c r="E133" s="12"/>
      <c r="F133" s="15"/>
      <c r="G133" s="12"/>
      <c r="H133" s="12"/>
      <c r="I133" s="12"/>
      <c r="J133" s="12"/>
      <c r="K133" s="4" t="n">
        <f aca="false">IF(COUNTA(A133:J133)=0,0,IF(A133="",0,COUNTIF($A$13:$A$212,A133)))</f>
        <v>0</v>
      </c>
      <c r="L133" s="4" t="n">
        <f aca="false">IF(COUNTA(A133:J133)=0,0,1)</f>
        <v>0</v>
      </c>
      <c r="M133" s="4" t="n">
        <f aca="false">IF(L133=0,0,IF(OR(A133="",NOT(ISNUMBER(B133)),C133="",NOT(ISNUMBER(F133)),F133&lt;0,J133="",K133&lt;&gt;1),1,0))</f>
        <v>0</v>
      </c>
    </row>
    <row r="134" customFormat="false" ht="15" hidden="false" customHeight="true" outlineLevel="0" collapsed="false">
      <c r="A134" s="12"/>
      <c r="B134" s="14"/>
      <c r="C134" s="12"/>
      <c r="D134" s="12"/>
      <c r="E134" s="12"/>
      <c r="F134" s="15"/>
      <c r="G134" s="12"/>
      <c r="H134" s="12"/>
      <c r="I134" s="12"/>
      <c r="J134" s="12"/>
      <c r="K134" s="4" t="n">
        <f aca="false">IF(COUNTA(A134:J134)=0,0,IF(A134="",0,COUNTIF($A$13:$A$212,A134)))</f>
        <v>0</v>
      </c>
      <c r="L134" s="4" t="n">
        <f aca="false">IF(COUNTA(A134:J134)=0,0,1)</f>
        <v>0</v>
      </c>
      <c r="M134" s="4" t="n">
        <f aca="false">IF(L134=0,0,IF(OR(A134="",NOT(ISNUMBER(B134)),C134="",NOT(ISNUMBER(F134)),F134&lt;0,J134="",K134&lt;&gt;1),1,0))</f>
        <v>0</v>
      </c>
    </row>
    <row r="135" customFormat="false" ht="15" hidden="false" customHeight="true" outlineLevel="0" collapsed="false">
      <c r="A135" s="12"/>
      <c r="B135" s="14"/>
      <c r="C135" s="12"/>
      <c r="D135" s="12"/>
      <c r="E135" s="12"/>
      <c r="F135" s="15"/>
      <c r="G135" s="12"/>
      <c r="H135" s="12"/>
      <c r="I135" s="12"/>
      <c r="J135" s="12"/>
      <c r="K135" s="4" t="n">
        <f aca="false">IF(COUNTA(A135:J135)=0,0,IF(A135="",0,COUNTIF($A$13:$A$212,A135)))</f>
        <v>0</v>
      </c>
      <c r="L135" s="4" t="n">
        <f aca="false">IF(COUNTA(A135:J135)=0,0,1)</f>
        <v>0</v>
      </c>
      <c r="M135" s="4" t="n">
        <f aca="false">IF(L135=0,0,IF(OR(A135="",NOT(ISNUMBER(B135)),C135="",NOT(ISNUMBER(F135)),F135&lt;0,J135="",K135&lt;&gt;1),1,0))</f>
        <v>0</v>
      </c>
    </row>
    <row r="136" customFormat="false" ht="15" hidden="false" customHeight="true" outlineLevel="0" collapsed="false">
      <c r="A136" s="12"/>
      <c r="B136" s="14"/>
      <c r="C136" s="12"/>
      <c r="D136" s="12"/>
      <c r="E136" s="12"/>
      <c r="F136" s="15"/>
      <c r="G136" s="12"/>
      <c r="H136" s="12"/>
      <c r="I136" s="12"/>
      <c r="J136" s="12"/>
      <c r="K136" s="4" t="n">
        <f aca="false">IF(COUNTA(A136:J136)=0,0,IF(A136="",0,COUNTIF($A$13:$A$212,A136)))</f>
        <v>0</v>
      </c>
      <c r="L136" s="4" t="n">
        <f aca="false">IF(COUNTA(A136:J136)=0,0,1)</f>
        <v>0</v>
      </c>
      <c r="M136" s="4" t="n">
        <f aca="false">IF(L136=0,0,IF(OR(A136="",NOT(ISNUMBER(B136)),C136="",NOT(ISNUMBER(F136)),F136&lt;0,J136="",K136&lt;&gt;1),1,0))</f>
        <v>0</v>
      </c>
    </row>
    <row r="137" customFormat="false" ht="15" hidden="false" customHeight="true" outlineLevel="0" collapsed="false">
      <c r="A137" s="12"/>
      <c r="B137" s="14"/>
      <c r="C137" s="12"/>
      <c r="D137" s="12"/>
      <c r="E137" s="12"/>
      <c r="F137" s="15"/>
      <c r="G137" s="12"/>
      <c r="H137" s="12"/>
      <c r="I137" s="12"/>
      <c r="J137" s="12"/>
      <c r="K137" s="4" t="n">
        <f aca="false">IF(COUNTA(A137:J137)=0,0,IF(A137="",0,COUNTIF($A$13:$A$212,A137)))</f>
        <v>0</v>
      </c>
      <c r="L137" s="4" t="n">
        <f aca="false">IF(COUNTA(A137:J137)=0,0,1)</f>
        <v>0</v>
      </c>
      <c r="M137" s="4" t="n">
        <f aca="false">IF(L137=0,0,IF(OR(A137="",NOT(ISNUMBER(B137)),C137="",NOT(ISNUMBER(F137)),F137&lt;0,J137="",K137&lt;&gt;1),1,0))</f>
        <v>0</v>
      </c>
    </row>
    <row r="138" customFormat="false" ht="15" hidden="false" customHeight="true" outlineLevel="0" collapsed="false">
      <c r="A138" s="12"/>
      <c r="B138" s="14"/>
      <c r="C138" s="12"/>
      <c r="D138" s="12"/>
      <c r="E138" s="12"/>
      <c r="F138" s="15"/>
      <c r="G138" s="12"/>
      <c r="H138" s="12"/>
      <c r="I138" s="12"/>
      <c r="J138" s="12"/>
      <c r="K138" s="4" t="n">
        <f aca="false">IF(COUNTA(A138:J138)=0,0,IF(A138="",0,COUNTIF($A$13:$A$212,A138)))</f>
        <v>0</v>
      </c>
      <c r="L138" s="4" t="n">
        <f aca="false">IF(COUNTA(A138:J138)=0,0,1)</f>
        <v>0</v>
      </c>
      <c r="M138" s="4" t="n">
        <f aca="false">IF(L138=0,0,IF(OR(A138="",NOT(ISNUMBER(B138)),C138="",NOT(ISNUMBER(F138)),F138&lt;0,J138="",K138&lt;&gt;1),1,0))</f>
        <v>0</v>
      </c>
    </row>
    <row r="139" customFormat="false" ht="15" hidden="false" customHeight="true" outlineLevel="0" collapsed="false">
      <c r="A139" s="12"/>
      <c r="B139" s="14"/>
      <c r="C139" s="12"/>
      <c r="D139" s="12"/>
      <c r="E139" s="12"/>
      <c r="F139" s="15"/>
      <c r="G139" s="12"/>
      <c r="H139" s="12"/>
      <c r="I139" s="12"/>
      <c r="J139" s="12"/>
      <c r="K139" s="4" t="n">
        <f aca="false">IF(COUNTA(A139:J139)=0,0,IF(A139="",0,COUNTIF($A$13:$A$212,A139)))</f>
        <v>0</v>
      </c>
      <c r="L139" s="4" t="n">
        <f aca="false">IF(COUNTA(A139:J139)=0,0,1)</f>
        <v>0</v>
      </c>
      <c r="M139" s="4" t="n">
        <f aca="false">IF(L139=0,0,IF(OR(A139="",NOT(ISNUMBER(B139)),C139="",NOT(ISNUMBER(F139)),F139&lt;0,J139="",K139&lt;&gt;1),1,0))</f>
        <v>0</v>
      </c>
    </row>
    <row r="140" customFormat="false" ht="15" hidden="false" customHeight="true" outlineLevel="0" collapsed="false">
      <c r="A140" s="12"/>
      <c r="B140" s="14"/>
      <c r="C140" s="12"/>
      <c r="D140" s="12"/>
      <c r="E140" s="12"/>
      <c r="F140" s="15"/>
      <c r="G140" s="12"/>
      <c r="H140" s="12"/>
      <c r="I140" s="12"/>
      <c r="J140" s="12"/>
      <c r="K140" s="4" t="n">
        <f aca="false">IF(COUNTA(A140:J140)=0,0,IF(A140="",0,COUNTIF($A$13:$A$212,A140)))</f>
        <v>0</v>
      </c>
      <c r="L140" s="4" t="n">
        <f aca="false">IF(COUNTA(A140:J140)=0,0,1)</f>
        <v>0</v>
      </c>
      <c r="M140" s="4" t="n">
        <f aca="false">IF(L140=0,0,IF(OR(A140="",NOT(ISNUMBER(B140)),C140="",NOT(ISNUMBER(F140)),F140&lt;0,J140="",K140&lt;&gt;1),1,0))</f>
        <v>0</v>
      </c>
    </row>
    <row r="141" customFormat="false" ht="15" hidden="false" customHeight="true" outlineLevel="0" collapsed="false">
      <c r="A141" s="12"/>
      <c r="B141" s="14"/>
      <c r="C141" s="12"/>
      <c r="D141" s="12"/>
      <c r="E141" s="12"/>
      <c r="F141" s="15"/>
      <c r="G141" s="12"/>
      <c r="H141" s="12"/>
      <c r="I141" s="12"/>
      <c r="J141" s="12"/>
      <c r="K141" s="4" t="n">
        <f aca="false">IF(COUNTA(A141:J141)=0,0,IF(A141="",0,COUNTIF($A$13:$A$212,A141)))</f>
        <v>0</v>
      </c>
      <c r="L141" s="4" t="n">
        <f aca="false">IF(COUNTA(A141:J141)=0,0,1)</f>
        <v>0</v>
      </c>
      <c r="M141" s="4" t="n">
        <f aca="false">IF(L141=0,0,IF(OR(A141="",NOT(ISNUMBER(B141)),C141="",NOT(ISNUMBER(F141)),F141&lt;0,J141="",K141&lt;&gt;1),1,0))</f>
        <v>0</v>
      </c>
    </row>
    <row r="142" customFormat="false" ht="15" hidden="false" customHeight="true" outlineLevel="0" collapsed="false">
      <c r="A142" s="12"/>
      <c r="B142" s="14"/>
      <c r="C142" s="12"/>
      <c r="D142" s="12"/>
      <c r="E142" s="12"/>
      <c r="F142" s="15"/>
      <c r="G142" s="12"/>
      <c r="H142" s="12"/>
      <c r="I142" s="12"/>
      <c r="J142" s="12"/>
      <c r="K142" s="4" t="n">
        <f aca="false">IF(COUNTA(A142:J142)=0,0,IF(A142="",0,COUNTIF($A$13:$A$212,A142)))</f>
        <v>0</v>
      </c>
      <c r="L142" s="4" t="n">
        <f aca="false">IF(COUNTA(A142:J142)=0,0,1)</f>
        <v>0</v>
      </c>
      <c r="M142" s="4" t="n">
        <f aca="false">IF(L142=0,0,IF(OR(A142="",NOT(ISNUMBER(B142)),C142="",NOT(ISNUMBER(F142)),F142&lt;0,J142="",K142&lt;&gt;1),1,0))</f>
        <v>0</v>
      </c>
    </row>
    <row r="143" customFormat="false" ht="15" hidden="false" customHeight="true" outlineLevel="0" collapsed="false">
      <c r="A143" s="12"/>
      <c r="B143" s="14"/>
      <c r="C143" s="12"/>
      <c r="D143" s="12"/>
      <c r="E143" s="12"/>
      <c r="F143" s="15"/>
      <c r="G143" s="12"/>
      <c r="H143" s="12"/>
      <c r="I143" s="12"/>
      <c r="J143" s="12"/>
      <c r="K143" s="4" t="n">
        <f aca="false">IF(COUNTA(A143:J143)=0,0,IF(A143="",0,COUNTIF($A$13:$A$212,A143)))</f>
        <v>0</v>
      </c>
      <c r="L143" s="4" t="n">
        <f aca="false">IF(COUNTA(A143:J143)=0,0,1)</f>
        <v>0</v>
      </c>
      <c r="M143" s="4" t="n">
        <f aca="false">IF(L143=0,0,IF(OR(A143="",NOT(ISNUMBER(B143)),C143="",NOT(ISNUMBER(F143)),F143&lt;0,J143="",K143&lt;&gt;1),1,0))</f>
        <v>0</v>
      </c>
    </row>
    <row r="144" customFormat="false" ht="15" hidden="false" customHeight="true" outlineLevel="0" collapsed="false">
      <c r="A144" s="12"/>
      <c r="B144" s="14"/>
      <c r="C144" s="12"/>
      <c r="D144" s="12"/>
      <c r="E144" s="12"/>
      <c r="F144" s="15"/>
      <c r="G144" s="12"/>
      <c r="H144" s="12"/>
      <c r="I144" s="12"/>
      <c r="J144" s="12"/>
      <c r="K144" s="4" t="n">
        <f aca="false">IF(COUNTA(A144:J144)=0,0,IF(A144="",0,COUNTIF($A$13:$A$212,A144)))</f>
        <v>0</v>
      </c>
      <c r="L144" s="4" t="n">
        <f aca="false">IF(COUNTA(A144:J144)=0,0,1)</f>
        <v>0</v>
      </c>
      <c r="M144" s="4" t="n">
        <f aca="false">IF(L144=0,0,IF(OR(A144="",NOT(ISNUMBER(B144)),C144="",NOT(ISNUMBER(F144)),F144&lt;0,J144="",K144&lt;&gt;1),1,0))</f>
        <v>0</v>
      </c>
    </row>
    <row r="145" customFormat="false" ht="15" hidden="false" customHeight="true" outlineLevel="0" collapsed="false">
      <c r="A145" s="12"/>
      <c r="B145" s="14"/>
      <c r="C145" s="12"/>
      <c r="D145" s="12"/>
      <c r="E145" s="12"/>
      <c r="F145" s="15"/>
      <c r="G145" s="12"/>
      <c r="H145" s="12"/>
      <c r="I145" s="12"/>
      <c r="J145" s="12"/>
      <c r="K145" s="4" t="n">
        <f aca="false">IF(COUNTA(A145:J145)=0,0,IF(A145="",0,COUNTIF($A$13:$A$212,A145)))</f>
        <v>0</v>
      </c>
      <c r="L145" s="4" t="n">
        <f aca="false">IF(COUNTA(A145:J145)=0,0,1)</f>
        <v>0</v>
      </c>
      <c r="M145" s="4" t="n">
        <f aca="false">IF(L145=0,0,IF(OR(A145="",NOT(ISNUMBER(B145)),C145="",NOT(ISNUMBER(F145)),F145&lt;0,J145="",K145&lt;&gt;1),1,0))</f>
        <v>0</v>
      </c>
    </row>
    <row r="146" customFormat="false" ht="15" hidden="false" customHeight="true" outlineLevel="0" collapsed="false">
      <c r="A146" s="12"/>
      <c r="B146" s="14"/>
      <c r="C146" s="12"/>
      <c r="D146" s="12"/>
      <c r="E146" s="12"/>
      <c r="F146" s="15"/>
      <c r="G146" s="12"/>
      <c r="H146" s="12"/>
      <c r="I146" s="12"/>
      <c r="J146" s="12"/>
      <c r="K146" s="4" t="n">
        <f aca="false">IF(COUNTA(A146:J146)=0,0,IF(A146="",0,COUNTIF($A$13:$A$212,A146)))</f>
        <v>0</v>
      </c>
      <c r="L146" s="4" t="n">
        <f aca="false">IF(COUNTA(A146:J146)=0,0,1)</f>
        <v>0</v>
      </c>
      <c r="M146" s="4" t="n">
        <f aca="false">IF(L146=0,0,IF(OR(A146="",NOT(ISNUMBER(B146)),C146="",NOT(ISNUMBER(F146)),F146&lt;0,J146="",K146&lt;&gt;1),1,0))</f>
        <v>0</v>
      </c>
    </row>
    <row r="147" customFormat="false" ht="15" hidden="false" customHeight="true" outlineLevel="0" collapsed="false">
      <c r="A147" s="12"/>
      <c r="B147" s="14"/>
      <c r="C147" s="12"/>
      <c r="D147" s="12"/>
      <c r="E147" s="12"/>
      <c r="F147" s="15"/>
      <c r="G147" s="12"/>
      <c r="H147" s="12"/>
      <c r="I147" s="12"/>
      <c r="J147" s="12"/>
      <c r="K147" s="4" t="n">
        <f aca="false">IF(COUNTA(A147:J147)=0,0,IF(A147="",0,COUNTIF($A$13:$A$212,A147)))</f>
        <v>0</v>
      </c>
      <c r="L147" s="4" t="n">
        <f aca="false">IF(COUNTA(A147:J147)=0,0,1)</f>
        <v>0</v>
      </c>
      <c r="M147" s="4" t="n">
        <f aca="false">IF(L147=0,0,IF(OR(A147="",NOT(ISNUMBER(B147)),C147="",NOT(ISNUMBER(F147)),F147&lt;0,J147="",K147&lt;&gt;1),1,0))</f>
        <v>0</v>
      </c>
    </row>
    <row r="148" customFormat="false" ht="15" hidden="false" customHeight="true" outlineLevel="0" collapsed="false">
      <c r="A148" s="12"/>
      <c r="B148" s="14"/>
      <c r="C148" s="12"/>
      <c r="D148" s="12"/>
      <c r="E148" s="12"/>
      <c r="F148" s="15"/>
      <c r="G148" s="12"/>
      <c r="H148" s="12"/>
      <c r="I148" s="12"/>
      <c r="J148" s="12"/>
      <c r="K148" s="4" t="n">
        <f aca="false">IF(COUNTA(A148:J148)=0,0,IF(A148="",0,COUNTIF($A$13:$A$212,A148)))</f>
        <v>0</v>
      </c>
      <c r="L148" s="4" t="n">
        <f aca="false">IF(COUNTA(A148:J148)=0,0,1)</f>
        <v>0</v>
      </c>
      <c r="M148" s="4" t="n">
        <f aca="false">IF(L148=0,0,IF(OR(A148="",NOT(ISNUMBER(B148)),C148="",NOT(ISNUMBER(F148)),F148&lt;0,J148="",K148&lt;&gt;1),1,0))</f>
        <v>0</v>
      </c>
    </row>
    <row r="149" customFormat="false" ht="15" hidden="false" customHeight="true" outlineLevel="0" collapsed="false">
      <c r="A149" s="12"/>
      <c r="B149" s="14"/>
      <c r="C149" s="12"/>
      <c r="D149" s="12"/>
      <c r="E149" s="12"/>
      <c r="F149" s="15"/>
      <c r="G149" s="12"/>
      <c r="H149" s="12"/>
      <c r="I149" s="12"/>
      <c r="J149" s="12"/>
      <c r="K149" s="4" t="n">
        <f aca="false">IF(COUNTA(A149:J149)=0,0,IF(A149="",0,COUNTIF($A$13:$A$212,A149)))</f>
        <v>0</v>
      </c>
      <c r="L149" s="4" t="n">
        <f aca="false">IF(COUNTA(A149:J149)=0,0,1)</f>
        <v>0</v>
      </c>
      <c r="M149" s="4" t="n">
        <f aca="false">IF(L149=0,0,IF(OR(A149="",NOT(ISNUMBER(B149)),C149="",NOT(ISNUMBER(F149)),F149&lt;0,J149="",K149&lt;&gt;1),1,0))</f>
        <v>0</v>
      </c>
    </row>
    <row r="150" customFormat="false" ht="15" hidden="false" customHeight="true" outlineLevel="0" collapsed="false">
      <c r="A150" s="12"/>
      <c r="B150" s="14"/>
      <c r="C150" s="12"/>
      <c r="D150" s="12"/>
      <c r="E150" s="12"/>
      <c r="F150" s="15"/>
      <c r="G150" s="12"/>
      <c r="H150" s="12"/>
      <c r="I150" s="12"/>
      <c r="J150" s="12"/>
      <c r="K150" s="4" t="n">
        <f aca="false">IF(COUNTA(A150:J150)=0,0,IF(A150="",0,COUNTIF($A$13:$A$212,A150)))</f>
        <v>0</v>
      </c>
      <c r="L150" s="4" t="n">
        <f aca="false">IF(COUNTA(A150:J150)=0,0,1)</f>
        <v>0</v>
      </c>
      <c r="M150" s="4" t="n">
        <f aca="false">IF(L150=0,0,IF(OR(A150="",NOT(ISNUMBER(B150)),C150="",NOT(ISNUMBER(F150)),F150&lt;0,J150="",K150&lt;&gt;1),1,0))</f>
        <v>0</v>
      </c>
    </row>
    <row r="151" customFormat="false" ht="15" hidden="false" customHeight="true" outlineLevel="0" collapsed="false">
      <c r="A151" s="12"/>
      <c r="B151" s="14"/>
      <c r="C151" s="12"/>
      <c r="D151" s="12"/>
      <c r="E151" s="12"/>
      <c r="F151" s="15"/>
      <c r="G151" s="12"/>
      <c r="H151" s="12"/>
      <c r="I151" s="12"/>
      <c r="J151" s="12"/>
      <c r="K151" s="4" t="n">
        <f aca="false">IF(COUNTA(A151:J151)=0,0,IF(A151="",0,COUNTIF($A$13:$A$212,A151)))</f>
        <v>0</v>
      </c>
      <c r="L151" s="4" t="n">
        <f aca="false">IF(COUNTA(A151:J151)=0,0,1)</f>
        <v>0</v>
      </c>
      <c r="M151" s="4" t="n">
        <f aca="false">IF(L151=0,0,IF(OR(A151="",NOT(ISNUMBER(B151)),C151="",NOT(ISNUMBER(F151)),F151&lt;0,J151="",K151&lt;&gt;1),1,0))</f>
        <v>0</v>
      </c>
    </row>
    <row r="152" customFormat="false" ht="15" hidden="false" customHeight="true" outlineLevel="0" collapsed="false">
      <c r="A152" s="12"/>
      <c r="B152" s="14"/>
      <c r="C152" s="12"/>
      <c r="D152" s="12"/>
      <c r="E152" s="12"/>
      <c r="F152" s="15"/>
      <c r="G152" s="12"/>
      <c r="H152" s="12"/>
      <c r="I152" s="12"/>
      <c r="J152" s="12"/>
      <c r="K152" s="4" t="n">
        <f aca="false">IF(COUNTA(A152:J152)=0,0,IF(A152="",0,COUNTIF($A$13:$A$212,A152)))</f>
        <v>0</v>
      </c>
      <c r="L152" s="4" t="n">
        <f aca="false">IF(COUNTA(A152:J152)=0,0,1)</f>
        <v>0</v>
      </c>
      <c r="M152" s="4" t="n">
        <f aca="false">IF(L152=0,0,IF(OR(A152="",NOT(ISNUMBER(B152)),C152="",NOT(ISNUMBER(F152)),F152&lt;0,J152="",K152&lt;&gt;1),1,0))</f>
        <v>0</v>
      </c>
    </row>
    <row r="153" customFormat="false" ht="15" hidden="false" customHeight="true" outlineLevel="0" collapsed="false">
      <c r="A153" s="12"/>
      <c r="B153" s="14"/>
      <c r="C153" s="12"/>
      <c r="D153" s="12"/>
      <c r="E153" s="12"/>
      <c r="F153" s="15"/>
      <c r="G153" s="12"/>
      <c r="H153" s="12"/>
      <c r="I153" s="12"/>
      <c r="J153" s="12"/>
      <c r="K153" s="4" t="n">
        <f aca="false">IF(COUNTA(A153:J153)=0,0,IF(A153="",0,COUNTIF($A$13:$A$212,A153)))</f>
        <v>0</v>
      </c>
      <c r="L153" s="4" t="n">
        <f aca="false">IF(COUNTA(A153:J153)=0,0,1)</f>
        <v>0</v>
      </c>
      <c r="M153" s="4" t="n">
        <f aca="false">IF(L153=0,0,IF(OR(A153="",NOT(ISNUMBER(B153)),C153="",NOT(ISNUMBER(F153)),F153&lt;0,J153="",K153&lt;&gt;1),1,0))</f>
        <v>0</v>
      </c>
    </row>
    <row r="154" customFormat="false" ht="15" hidden="false" customHeight="true" outlineLevel="0" collapsed="false">
      <c r="A154" s="12"/>
      <c r="B154" s="14"/>
      <c r="C154" s="12"/>
      <c r="D154" s="12"/>
      <c r="E154" s="12"/>
      <c r="F154" s="15"/>
      <c r="G154" s="12"/>
      <c r="H154" s="12"/>
      <c r="I154" s="12"/>
      <c r="J154" s="12"/>
      <c r="K154" s="4" t="n">
        <f aca="false">IF(COUNTA(A154:J154)=0,0,IF(A154="",0,COUNTIF($A$13:$A$212,A154)))</f>
        <v>0</v>
      </c>
      <c r="L154" s="4" t="n">
        <f aca="false">IF(COUNTA(A154:J154)=0,0,1)</f>
        <v>0</v>
      </c>
      <c r="M154" s="4" t="n">
        <f aca="false">IF(L154=0,0,IF(OR(A154="",NOT(ISNUMBER(B154)),C154="",NOT(ISNUMBER(F154)),F154&lt;0,J154="",K154&lt;&gt;1),1,0))</f>
        <v>0</v>
      </c>
    </row>
    <row r="155" customFormat="false" ht="15" hidden="false" customHeight="true" outlineLevel="0" collapsed="false">
      <c r="A155" s="12"/>
      <c r="B155" s="14"/>
      <c r="C155" s="12"/>
      <c r="D155" s="12"/>
      <c r="E155" s="12"/>
      <c r="F155" s="15"/>
      <c r="G155" s="12"/>
      <c r="H155" s="12"/>
      <c r="I155" s="12"/>
      <c r="J155" s="12"/>
      <c r="K155" s="4" t="n">
        <f aca="false">IF(COUNTA(A155:J155)=0,0,IF(A155="",0,COUNTIF($A$13:$A$212,A155)))</f>
        <v>0</v>
      </c>
      <c r="L155" s="4" t="n">
        <f aca="false">IF(COUNTA(A155:J155)=0,0,1)</f>
        <v>0</v>
      </c>
      <c r="M155" s="4" t="n">
        <f aca="false">IF(L155=0,0,IF(OR(A155="",NOT(ISNUMBER(B155)),C155="",NOT(ISNUMBER(F155)),F155&lt;0,J155="",K155&lt;&gt;1),1,0))</f>
        <v>0</v>
      </c>
    </row>
    <row r="156" customFormat="false" ht="15" hidden="false" customHeight="true" outlineLevel="0" collapsed="false">
      <c r="A156" s="12"/>
      <c r="B156" s="14"/>
      <c r="C156" s="12"/>
      <c r="D156" s="12"/>
      <c r="E156" s="12"/>
      <c r="F156" s="15"/>
      <c r="G156" s="12"/>
      <c r="H156" s="12"/>
      <c r="I156" s="12"/>
      <c r="J156" s="12"/>
      <c r="K156" s="4" t="n">
        <f aca="false">IF(COUNTA(A156:J156)=0,0,IF(A156="",0,COUNTIF($A$13:$A$212,A156)))</f>
        <v>0</v>
      </c>
      <c r="L156" s="4" t="n">
        <f aca="false">IF(COUNTA(A156:J156)=0,0,1)</f>
        <v>0</v>
      </c>
      <c r="M156" s="4" t="n">
        <f aca="false">IF(L156=0,0,IF(OR(A156="",NOT(ISNUMBER(B156)),C156="",NOT(ISNUMBER(F156)),F156&lt;0,J156="",K156&lt;&gt;1),1,0))</f>
        <v>0</v>
      </c>
    </row>
    <row r="157" customFormat="false" ht="15" hidden="false" customHeight="true" outlineLevel="0" collapsed="false">
      <c r="A157" s="12"/>
      <c r="B157" s="14"/>
      <c r="C157" s="12"/>
      <c r="D157" s="12"/>
      <c r="E157" s="12"/>
      <c r="F157" s="15"/>
      <c r="G157" s="12"/>
      <c r="H157" s="12"/>
      <c r="I157" s="12"/>
      <c r="J157" s="12"/>
      <c r="K157" s="4" t="n">
        <f aca="false">IF(COUNTA(A157:J157)=0,0,IF(A157="",0,COUNTIF($A$13:$A$212,A157)))</f>
        <v>0</v>
      </c>
      <c r="L157" s="4" t="n">
        <f aca="false">IF(COUNTA(A157:J157)=0,0,1)</f>
        <v>0</v>
      </c>
      <c r="M157" s="4" t="n">
        <f aca="false">IF(L157=0,0,IF(OR(A157="",NOT(ISNUMBER(B157)),C157="",NOT(ISNUMBER(F157)),F157&lt;0,J157="",K157&lt;&gt;1),1,0))</f>
        <v>0</v>
      </c>
    </row>
    <row r="158" customFormat="false" ht="15" hidden="false" customHeight="true" outlineLevel="0" collapsed="false">
      <c r="A158" s="12"/>
      <c r="B158" s="14"/>
      <c r="C158" s="12"/>
      <c r="D158" s="12"/>
      <c r="E158" s="12"/>
      <c r="F158" s="15"/>
      <c r="G158" s="12"/>
      <c r="H158" s="12"/>
      <c r="I158" s="12"/>
      <c r="J158" s="12"/>
      <c r="K158" s="4" t="n">
        <f aca="false">IF(COUNTA(A158:J158)=0,0,IF(A158="",0,COUNTIF($A$13:$A$212,A158)))</f>
        <v>0</v>
      </c>
      <c r="L158" s="4" t="n">
        <f aca="false">IF(COUNTA(A158:J158)=0,0,1)</f>
        <v>0</v>
      </c>
      <c r="M158" s="4" t="n">
        <f aca="false">IF(L158=0,0,IF(OR(A158="",NOT(ISNUMBER(B158)),C158="",NOT(ISNUMBER(F158)),F158&lt;0,J158="",K158&lt;&gt;1),1,0))</f>
        <v>0</v>
      </c>
    </row>
    <row r="159" customFormat="false" ht="15" hidden="false" customHeight="true" outlineLevel="0" collapsed="false">
      <c r="A159" s="12"/>
      <c r="B159" s="14"/>
      <c r="C159" s="12"/>
      <c r="D159" s="12"/>
      <c r="E159" s="12"/>
      <c r="F159" s="15"/>
      <c r="G159" s="12"/>
      <c r="H159" s="12"/>
      <c r="I159" s="12"/>
      <c r="J159" s="12"/>
      <c r="K159" s="4" t="n">
        <f aca="false">IF(COUNTA(A159:J159)=0,0,IF(A159="",0,COUNTIF($A$13:$A$212,A159)))</f>
        <v>0</v>
      </c>
      <c r="L159" s="4" t="n">
        <f aca="false">IF(COUNTA(A159:J159)=0,0,1)</f>
        <v>0</v>
      </c>
      <c r="M159" s="4" t="n">
        <f aca="false">IF(L159=0,0,IF(OR(A159="",NOT(ISNUMBER(B159)),C159="",NOT(ISNUMBER(F159)),F159&lt;0,J159="",K159&lt;&gt;1),1,0))</f>
        <v>0</v>
      </c>
    </row>
    <row r="160" customFormat="false" ht="15" hidden="false" customHeight="true" outlineLevel="0" collapsed="false">
      <c r="A160" s="12"/>
      <c r="B160" s="14"/>
      <c r="C160" s="12"/>
      <c r="D160" s="12"/>
      <c r="E160" s="12"/>
      <c r="F160" s="15"/>
      <c r="G160" s="12"/>
      <c r="H160" s="12"/>
      <c r="I160" s="12"/>
      <c r="J160" s="12"/>
      <c r="K160" s="4" t="n">
        <f aca="false">IF(COUNTA(A160:J160)=0,0,IF(A160="",0,COUNTIF($A$13:$A$212,A160)))</f>
        <v>0</v>
      </c>
      <c r="L160" s="4" t="n">
        <f aca="false">IF(COUNTA(A160:J160)=0,0,1)</f>
        <v>0</v>
      </c>
      <c r="M160" s="4" t="n">
        <f aca="false">IF(L160=0,0,IF(OR(A160="",NOT(ISNUMBER(B160)),C160="",NOT(ISNUMBER(F160)),F160&lt;0,J160="",K160&lt;&gt;1),1,0))</f>
        <v>0</v>
      </c>
    </row>
    <row r="161" customFormat="false" ht="15" hidden="false" customHeight="true" outlineLevel="0" collapsed="false">
      <c r="A161" s="12"/>
      <c r="B161" s="14"/>
      <c r="C161" s="12"/>
      <c r="D161" s="12"/>
      <c r="E161" s="12"/>
      <c r="F161" s="15"/>
      <c r="G161" s="12"/>
      <c r="H161" s="12"/>
      <c r="I161" s="12"/>
      <c r="J161" s="12"/>
      <c r="K161" s="4" t="n">
        <f aca="false">IF(COUNTA(A161:J161)=0,0,IF(A161="",0,COUNTIF($A$13:$A$212,A161)))</f>
        <v>0</v>
      </c>
      <c r="L161" s="4" t="n">
        <f aca="false">IF(COUNTA(A161:J161)=0,0,1)</f>
        <v>0</v>
      </c>
      <c r="M161" s="4" t="n">
        <f aca="false">IF(L161=0,0,IF(OR(A161="",NOT(ISNUMBER(B161)),C161="",NOT(ISNUMBER(F161)),F161&lt;0,J161="",K161&lt;&gt;1),1,0))</f>
        <v>0</v>
      </c>
    </row>
    <row r="162" customFormat="false" ht="15" hidden="false" customHeight="true" outlineLevel="0" collapsed="false">
      <c r="A162" s="12"/>
      <c r="B162" s="14"/>
      <c r="C162" s="12"/>
      <c r="D162" s="12"/>
      <c r="E162" s="12"/>
      <c r="F162" s="15"/>
      <c r="G162" s="12"/>
      <c r="H162" s="12"/>
      <c r="I162" s="12"/>
      <c r="J162" s="12"/>
      <c r="K162" s="4" t="n">
        <f aca="false">IF(COUNTA(A162:J162)=0,0,IF(A162="",0,COUNTIF($A$13:$A$212,A162)))</f>
        <v>0</v>
      </c>
      <c r="L162" s="4" t="n">
        <f aca="false">IF(COUNTA(A162:J162)=0,0,1)</f>
        <v>0</v>
      </c>
      <c r="M162" s="4" t="n">
        <f aca="false">IF(L162=0,0,IF(OR(A162="",NOT(ISNUMBER(B162)),C162="",NOT(ISNUMBER(F162)),F162&lt;0,J162="",K162&lt;&gt;1),1,0))</f>
        <v>0</v>
      </c>
    </row>
    <row r="163" customFormat="false" ht="15" hidden="false" customHeight="true" outlineLevel="0" collapsed="false">
      <c r="A163" s="12"/>
      <c r="B163" s="14"/>
      <c r="C163" s="12"/>
      <c r="D163" s="12"/>
      <c r="E163" s="12"/>
      <c r="F163" s="15"/>
      <c r="G163" s="12"/>
      <c r="H163" s="12"/>
      <c r="I163" s="12"/>
      <c r="J163" s="12"/>
      <c r="K163" s="4" t="n">
        <f aca="false">IF(COUNTA(A163:J163)=0,0,IF(A163="",0,COUNTIF($A$13:$A$212,A163)))</f>
        <v>0</v>
      </c>
      <c r="L163" s="4" t="n">
        <f aca="false">IF(COUNTA(A163:J163)=0,0,1)</f>
        <v>0</v>
      </c>
      <c r="M163" s="4" t="n">
        <f aca="false">IF(L163=0,0,IF(OR(A163="",NOT(ISNUMBER(B163)),C163="",NOT(ISNUMBER(F163)),F163&lt;0,J163="",K163&lt;&gt;1),1,0))</f>
        <v>0</v>
      </c>
    </row>
    <row r="164" customFormat="false" ht="15" hidden="false" customHeight="true" outlineLevel="0" collapsed="false">
      <c r="A164" s="12"/>
      <c r="B164" s="14"/>
      <c r="C164" s="12"/>
      <c r="D164" s="12"/>
      <c r="E164" s="12"/>
      <c r="F164" s="15"/>
      <c r="G164" s="12"/>
      <c r="H164" s="12"/>
      <c r="I164" s="12"/>
      <c r="J164" s="12"/>
      <c r="K164" s="4" t="n">
        <f aca="false">IF(COUNTA(A164:J164)=0,0,IF(A164="",0,COUNTIF($A$13:$A$212,A164)))</f>
        <v>0</v>
      </c>
      <c r="L164" s="4" t="n">
        <f aca="false">IF(COUNTA(A164:J164)=0,0,1)</f>
        <v>0</v>
      </c>
      <c r="M164" s="4" t="n">
        <f aca="false">IF(L164=0,0,IF(OR(A164="",NOT(ISNUMBER(B164)),C164="",NOT(ISNUMBER(F164)),F164&lt;0,J164="",K164&lt;&gt;1),1,0))</f>
        <v>0</v>
      </c>
    </row>
    <row r="165" customFormat="false" ht="15" hidden="false" customHeight="true" outlineLevel="0" collapsed="false">
      <c r="A165" s="12"/>
      <c r="B165" s="14"/>
      <c r="C165" s="12"/>
      <c r="D165" s="12"/>
      <c r="E165" s="12"/>
      <c r="F165" s="15"/>
      <c r="G165" s="12"/>
      <c r="H165" s="12"/>
      <c r="I165" s="12"/>
      <c r="J165" s="12"/>
      <c r="K165" s="4" t="n">
        <f aca="false">IF(COUNTA(A165:J165)=0,0,IF(A165="",0,COUNTIF($A$13:$A$212,A165)))</f>
        <v>0</v>
      </c>
      <c r="L165" s="4" t="n">
        <f aca="false">IF(COUNTA(A165:J165)=0,0,1)</f>
        <v>0</v>
      </c>
      <c r="M165" s="4" t="n">
        <f aca="false">IF(L165=0,0,IF(OR(A165="",NOT(ISNUMBER(B165)),C165="",NOT(ISNUMBER(F165)),F165&lt;0,J165="",K165&lt;&gt;1),1,0))</f>
        <v>0</v>
      </c>
    </row>
    <row r="166" customFormat="false" ht="15" hidden="false" customHeight="true" outlineLevel="0" collapsed="false">
      <c r="A166" s="12"/>
      <c r="B166" s="14"/>
      <c r="C166" s="12"/>
      <c r="D166" s="12"/>
      <c r="E166" s="12"/>
      <c r="F166" s="15"/>
      <c r="G166" s="12"/>
      <c r="H166" s="12"/>
      <c r="I166" s="12"/>
      <c r="J166" s="12"/>
      <c r="K166" s="4" t="n">
        <f aca="false">IF(COUNTA(A166:J166)=0,0,IF(A166="",0,COUNTIF($A$13:$A$212,A166)))</f>
        <v>0</v>
      </c>
      <c r="L166" s="4" t="n">
        <f aca="false">IF(COUNTA(A166:J166)=0,0,1)</f>
        <v>0</v>
      </c>
      <c r="M166" s="4" t="n">
        <f aca="false">IF(L166=0,0,IF(OR(A166="",NOT(ISNUMBER(B166)),C166="",NOT(ISNUMBER(F166)),F166&lt;0,J166="",K166&lt;&gt;1),1,0))</f>
        <v>0</v>
      </c>
    </row>
    <row r="167" customFormat="false" ht="15" hidden="false" customHeight="true" outlineLevel="0" collapsed="false">
      <c r="A167" s="12"/>
      <c r="B167" s="14"/>
      <c r="C167" s="12"/>
      <c r="D167" s="12"/>
      <c r="E167" s="12"/>
      <c r="F167" s="15"/>
      <c r="G167" s="12"/>
      <c r="H167" s="12"/>
      <c r="I167" s="12"/>
      <c r="J167" s="12"/>
      <c r="K167" s="4" t="n">
        <f aca="false">IF(COUNTA(A167:J167)=0,0,IF(A167="",0,COUNTIF($A$13:$A$212,A167)))</f>
        <v>0</v>
      </c>
      <c r="L167" s="4" t="n">
        <f aca="false">IF(COUNTA(A167:J167)=0,0,1)</f>
        <v>0</v>
      </c>
      <c r="M167" s="4" t="n">
        <f aca="false">IF(L167=0,0,IF(OR(A167="",NOT(ISNUMBER(B167)),C167="",NOT(ISNUMBER(F167)),F167&lt;0,J167="",K167&lt;&gt;1),1,0))</f>
        <v>0</v>
      </c>
    </row>
    <row r="168" customFormat="false" ht="15" hidden="false" customHeight="true" outlineLevel="0" collapsed="false">
      <c r="A168" s="12"/>
      <c r="B168" s="14"/>
      <c r="C168" s="12"/>
      <c r="D168" s="12"/>
      <c r="E168" s="12"/>
      <c r="F168" s="15"/>
      <c r="G168" s="12"/>
      <c r="H168" s="12"/>
      <c r="I168" s="12"/>
      <c r="J168" s="12"/>
      <c r="K168" s="4" t="n">
        <f aca="false">IF(COUNTA(A168:J168)=0,0,IF(A168="",0,COUNTIF($A$13:$A$212,A168)))</f>
        <v>0</v>
      </c>
      <c r="L168" s="4" t="n">
        <f aca="false">IF(COUNTA(A168:J168)=0,0,1)</f>
        <v>0</v>
      </c>
      <c r="M168" s="4" t="n">
        <f aca="false">IF(L168=0,0,IF(OR(A168="",NOT(ISNUMBER(B168)),C168="",NOT(ISNUMBER(F168)),F168&lt;0,J168="",K168&lt;&gt;1),1,0))</f>
        <v>0</v>
      </c>
    </row>
    <row r="169" customFormat="false" ht="15" hidden="false" customHeight="true" outlineLevel="0" collapsed="false">
      <c r="A169" s="12"/>
      <c r="B169" s="14"/>
      <c r="C169" s="12"/>
      <c r="D169" s="12"/>
      <c r="E169" s="12"/>
      <c r="F169" s="15"/>
      <c r="G169" s="12"/>
      <c r="H169" s="12"/>
      <c r="I169" s="12"/>
      <c r="J169" s="12"/>
      <c r="K169" s="4" t="n">
        <f aca="false">IF(COUNTA(A169:J169)=0,0,IF(A169="",0,COUNTIF($A$13:$A$212,A169)))</f>
        <v>0</v>
      </c>
      <c r="L169" s="4" t="n">
        <f aca="false">IF(COUNTA(A169:J169)=0,0,1)</f>
        <v>0</v>
      </c>
      <c r="M169" s="4" t="n">
        <f aca="false">IF(L169=0,0,IF(OR(A169="",NOT(ISNUMBER(B169)),C169="",NOT(ISNUMBER(F169)),F169&lt;0,J169="",K169&lt;&gt;1),1,0))</f>
        <v>0</v>
      </c>
    </row>
    <row r="170" customFormat="false" ht="15" hidden="false" customHeight="true" outlineLevel="0" collapsed="false">
      <c r="A170" s="12"/>
      <c r="B170" s="14"/>
      <c r="C170" s="12"/>
      <c r="D170" s="12"/>
      <c r="E170" s="12"/>
      <c r="F170" s="15"/>
      <c r="G170" s="12"/>
      <c r="H170" s="12"/>
      <c r="I170" s="12"/>
      <c r="J170" s="12"/>
      <c r="K170" s="4" t="n">
        <f aca="false">IF(COUNTA(A170:J170)=0,0,IF(A170="",0,COUNTIF($A$13:$A$212,A170)))</f>
        <v>0</v>
      </c>
      <c r="L170" s="4" t="n">
        <f aca="false">IF(COUNTA(A170:J170)=0,0,1)</f>
        <v>0</v>
      </c>
      <c r="M170" s="4" t="n">
        <f aca="false">IF(L170=0,0,IF(OR(A170="",NOT(ISNUMBER(B170)),C170="",NOT(ISNUMBER(F170)),F170&lt;0,J170="",K170&lt;&gt;1),1,0))</f>
        <v>0</v>
      </c>
    </row>
    <row r="171" customFormat="false" ht="15" hidden="false" customHeight="true" outlineLevel="0" collapsed="false">
      <c r="A171" s="12"/>
      <c r="B171" s="14"/>
      <c r="C171" s="12"/>
      <c r="D171" s="12"/>
      <c r="E171" s="12"/>
      <c r="F171" s="15"/>
      <c r="G171" s="12"/>
      <c r="H171" s="12"/>
      <c r="I171" s="12"/>
      <c r="J171" s="12"/>
      <c r="K171" s="4" t="n">
        <f aca="false">IF(COUNTA(A171:J171)=0,0,IF(A171="",0,COUNTIF($A$13:$A$212,A171)))</f>
        <v>0</v>
      </c>
      <c r="L171" s="4" t="n">
        <f aca="false">IF(COUNTA(A171:J171)=0,0,1)</f>
        <v>0</v>
      </c>
      <c r="M171" s="4" t="n">
        <f aca="false">IF(L171=0,0,IF(OR(A171="",NOT(ISNUMBER(B171)),C171="",NOT(ISNUMBER(F171)),F171&lt;0,J171="",K171&lt;&gt;1),1,0))</f>
        <v>0</v>
      </c>
    </row>
    <row r="172" customFormat="false" ht="15" hidden="false" customHeight="true" outlineLevel="0" collapsed="false">
      <c r="A172" s="12"/>
      <c r="B172" s="14"/>
      <c r="C172" s="12"/>
      <c r="D172" s="12"/>
      <c r="E172" s="12"/>
      <c r="F172" s="15"/>
      <c r="G172" s="12"/>
      <c r="H172" s="12"/>
      <c r="I172" s="12"/>
      <c r="J172" s="12"/>
      <c r="K172" s="4" t="n">
        <f aca="false">IF(COUNTA(A172:J172)=0,0,IF(A172="",0,COUNTIF($A$13:$A$212,A172)))</f>
        <v>0</v>
      </c>
      <c r="L172" s="4" t="n">
        <f aca="false">IF(COUNTA(A172:J172)=0,0,1)</f>
        <v>0</v>
      </c>
      <c r="M172" s="4" t="n">
        <f aca="false">IF(L172=0,0,IF(OR(A172="",NOT(ISNUMBER(B172)),C172="",NOT(ISNUMBER(F172)),F172&lt;0,J172="",K172&lt;&gt;1),1,0))</f>
        <v>0</v>
      </c>
    </row>
    <row r="173" customFormat="false" ht="15" hidden="false" customHeight="true" outlineLevel="0" collapsed="false">
      <c r="A173" s="12"/>
      <c r="B173" s="14"/>
      <c r="C173" s="12"/>
      <c r="D173" s="12"/>
      <c r="E173" s="12"/>
      <c r="F173" s="15"/>
      <c r="G173" s="12"/>
      <c r="H173" s="12"/>
      <c r="I173" s="12"/>
      <c r="J173" s="12"/>
      <c r="K173" s="4" t="n">
        <f aca="false">IF(COUNTA(A173:J173)=0,0,IF(A173="",0,COUNTIF($A$13:$A$212,A173)))</f>
        <v>0</v>
      </c>
      <c r="L173" s="4" t="n">
        <f aca="false">IF(COUNTA(A173:J173)=0,0,1)</f>
        <v>0</v>
      </c>
      <c r="M173" s="4" t="n">
        <f aca="false">IF(L173=0,0,IF(OR(A173="",NOT(ISNUMBER(B173)),C173="",NOT(ISNUMBER(F173)),F173&lt;0,J173="",K173&lt;&gt;1),1,0))</f>
        <v>0</v>
      </c>
    </row>
    <row r="174" customFormat="false" ht="15" hidden="false" customHeight="true" outlineLevel="0" collapsed="false">
      <c r="A174" s="12"/>
      <c r="B174" s="14"/>
      <c r="C174" s="12"/>
      <c r="D174" s="12"/>
      <c r="E174" s="12"/>
      <c r="F174" s="15"/>
      <c r="G174" s="12"/>
      <c r="H174" s="12"/>
      <c r="I174" s="12"/>
      <c r="J174" s="12"/>
      <c r="K174" s="4" t="n">
        <f aca="false">IF(COUNTA(A174:J174)=0,0,IF(A174="",0,COUNTIF($A$13:$A$212,A174)))</f>
        <v>0</v>
      </c>
      <c r="L174" s="4" t="n">
        <f aca="false">IF(COUNTA(A174:J174)=0,0,1)</f>
        <v>0</v>
      </c>
      <c r="M174" s="4" t="n">
        <f aca="false">IF(L174=0,0,IF(OR(A174="",NOT(ISNUMBER(B174)),C174="",NOT(ISNUMBER(F174)),F174&lt;0,J174="",K174&lt;&gt;1),1,0))</f>
        <v>0</v>
      </c>
    </row>
    <row r="175" customFormat="false" ht="15" hidden="false" customHeight="true" outlineLevel="0" collapsed="false">
      <c r="A175" s="12"/>
      <c r="B175" s="14"/>
      <c r="C175" s="12"/>
      <c r="D175" s="12"/>
      <c r="E175" s="12"/>
      <c r="F175" s="15"/>
      <c r="G175" s="12"/>
      <c r="H175" s="12"/>
      <c r="I175" s="12"/>
      <c r="J175" s="12"/>
      <c r="K175" s="4" t="n">
        <f aca="false">IF(COUNTA(A175:J175)=0,0,IF(A175="",0,COUNTIF($A$13:$A$212,A175)))</f>
        <v>0</v>
      </c>
      <c r="L175" s="4" t="n">
        <f aca="false">IF(COUNTA(A175:J175)=0,0,1)</f>
        <v>0</v>
      </c>
      <c r="M175" s="4" t="n">
        <f aca="false">IF(L175=0,0,IF(OR(A175="",NOT(ISNUMBER(B175)),C175="",NOT(ISNUMBER(F175)),F175&lt;0,J175="",K175&lt;&gt;1),1,0))</f>
        <v>0</v>
      </c>
    </row>
    <row r="176" customFormat="false" ht="15" hidden="false" customHeight="true" outlineLevel="0" collapsed="false">
      <c r="A176" s="12"/>
      <c r="B176" s="14"/>
      <c r="C176" s="12"/>
      <c r="D176" s="12"/>
      <c r="E176" s="12"/>
      <c r="F176" s="15"/>
      <c r="G176" s="12"/>
      <c r="H176" s="12"/>
      <c r="I176" s="12"/>
      <c r="J176" s="12"/>
      <c r="K176" s="4" t="n">
        <f aca="false">IF(COUNTA(A176:J176)=0,0,IF(A176="",0,COUNTIF($A$13:$A$212,A176)))</f>
        <v>0</v>
      </c>
      <c r="L176" s="4" t="n">
        <f aca="false">IF(COUNTA(A176:J176)=0,0,1)</f>
        <v>0</v>
      </c>
      <c r="M176" s="4" t="n">
        <f aca="false">IF(L176=0,0,IF(OR(A176="",NOT(ISNUMBER(B176)),C176="",NOT(ISNUMBER(F176)),F176&lt;0,J176="",K176&lt;&gt;1),1,0))</f>
        <v>0</v>
      </c>
    </row>
    <row r="177" customFormat="false" ht="15" hidden="false" customHeight="true" outlineLevel="0" collapsed="false">
      <c r="A177" s="12"/>
      <c r="B177" s="14"/>
      <c r="C177" s="12"/>
      <c r="D177" s="12"/>
      <c r="E177" s="12"/>
      <c r="F177" s="15"/>
      <c r="G177" s="12"/>
      <c r="H177" s="12"/>
      <c r="I177" s="12"/>
      <c r="J177" s="12"/>
      <c r="K177" s="4" t="n">
        <f aca="false">IF(COUNTA(A177:J177)=0,0,IF(A177="",0,COUNTIF($A$13:$A$212,A177)))</f>
        <v>0</v>
      </c>
      <c r="L177" s="4" t="n">
        <f aca="false">IF(COUNTA(A177:J177)=0,0,1)</f>
        <v>0</v>
      </c>
      <c r="M177" s="4" t="n">
        <f aca="false">IF(L177=0,0,IF(OR(A177="",NOT(ISNUMBER(B177)),C177="",NOT(ISNUMBER(F177)),F177&lt;0,J177="",K177&lt;&gt;1),1,0))</f>
        <v>0</v>
      </c>
    </row>
    <row r="178" customFormat="false" ht="15" hidden="false" customHeight="true" outlineLevel="0" collapsed="false">
      <c r="A178" s="12"/>
      <c r="B178" s="14"/>
      <c r="C178" s="12"/>
      <c r="D178" s="12"/>
      <c r="E178" s="12"/>
      <c r="F178" s="15"/>
      <c r="G178" s="12"/>
      <c r="H178" s="12"/>
      <c r="I178" s="12"/>
      <c r="J178" s="12"/>
      <c r="K178" s="4" t="n">
        <f aca="false">IF(COUNTA(A178:J178)=0,0,IF(A178="",0,COUNTIF($A$13:$A$212,A178)))</f>
        <v>0</v>
      </c>
      <c r="L178" s="4" t="n">
        <f aca="false">IF(COUNTA(A178:J178)=0,0,1)</f>
        <v>0</v>
      </c>
      <c r="M178" s="4" t="n">
        <f aca="false">IF(L178=0,0,IF(OR(A178="",NOT(ISNUMBER(B178)),C178="",NOT(ISNUMBER(F178)),F178&lt;0,J178="",K178&lt;&gt;1),1,0))</f>
        <v>0</v>
      </c>
    </row>
    <row r="179" customFormat="false" ht="15" hidden="false" customHeight="true" outlineLevel="0" collapsed="false">
      <c r="A179" s="12"/>
      <c r="B179" s="14"/>
      <c r="C179" s="12"/>
      <c r="D179" s="12"/>
      <c r="E179" s="12"/>
      <c r="F179" s="15"/>
      <c r="G179" s="12"/>
      <c r="H179" s="12"/>
      <c r="I179" s="12"/>
      <c r="J179" s="12"/>
      <c r="K179" s="4" t="n">
        <f aca="false">IF(COUNTA(A179:J179)=0,0,IF(A179="",0,COUNTIF($A$13:$A$212,A179)))</f>
        <v>0</v>
      </c>
      <c r="L179" s="4" t="n">
        <f aca="false">IF(COUNTA(A179:J179)=0,0,1)</f>
        <v>0</v>
      </c>
      <c r="M179" s="4" t="n">
        <f aca="false">IF(L179=0,0,IF(OR(A179="",NOT(ISNUMBER(B179)),C179="",NOT(ISNUMBER(F179)),F179&lt;0,J179="",K179&lt;&gt;1),1,0))</f>
        <v>0</v>
      </c>
    </row>
    <row r="180" customFormat="false" ht="15" hidden="false" customHeight="true" outlineLevel="0" collapsed="false">
      <c r="A180" s="12"/>
      <c r="B180" s="14"/>
      <c r="C180" s="12"/>
      <c r="D180" s="12"/>
      <c r="E180" s="12"/>
      <c r="F180" s="15"/>
      <c r="G180" s="12"/>
      <c r="H180" s="12"/>
      <c r="I180" s="12"/>
      <c r="J180" s="12"/>
      <c r="K180" s="4" t="n">
        <f aca="false">IF(COUNTA(A180:J180)=0,0,IF(A180="",0,COUNTIF($A$13:$A$212,A180)))</f>
        <v>0</v>
      </c>
      <c r="L180" s="4" t="n">
        <f aca="false">IF(COUNTA(A180:J180)=0,0,1)</f>
        <v>0</v>
      </c>
      <c r="M180" s="4" t="n">
        <f aca="false">IF(L180=0,0,IF(OR(A180="",NOT(ISNUMBER(B180)),C180="",NOT(ISNUMBER(F180)),F180&lt;0,J180="",K180&lt;&gt;1),1,0))</f>
        <v>0</v>
      </c>
    </row>
    <row r="181" customFormat="false" ht="15" hidden="false" customHeight="true" outlineLevel="0" collapsed="false">
      <c r="A181" s="12"/>
      <c r="B181" s="14"/>
      <c r="C181" s="12"/>
      <c r="D181" s="12"/>
      <c r="E181" s="12"/>
      <c r="F181" s="15"/>
      <c r="G181" s="12"/>
      <c r="H181" s="12"/>
      <c r="I181" s="12"/>
      <c r="J181" s="12"/>
      <c r="K181" s="4" t="n">
        <f aca="false">IF(COUNTA(A181:J181)=0,0,IF(A181="",0,COUNTIF($A$13:$A$212,A181)))</f>
        <v>0</v>
      </c>
      <c r="L181" s="4" t="n">
        <f aca="false">IF(COUNTA(A181:J181)=0,0,1)</f>
        <v>0</v>
      </c>
      <c r="M181" s="4" t="n">
        <f aca="false">IF(L181=0,0,IF(OR(A181="",NOT(ISNUMBER(B181)),C181="",NOT(ISNUMBER(F181)),F181&lt;0,J181="",K181&lt;&gt;1),1,0))</f>
        <v>0</v>
      </c>
    </row>
    <row r="182" customFormat="false" ht="15" hidden="false" customHeight="true" outlineLevel="0" collapsed="false">
      <c r="A182" s="12"/>
      <c r="B182" s="14"/>
      <c r="C182" s="12"/>
      <c r="D182" s="12"/>
      <c r="E182" s="12"/>
      <c r="F182" s="15"/>
      <c r="G182" s="12"/>
      <c r="H182" s="12"/>
      <c r="I182" s="12"/>
      <c r="J182" s="12"/>
      <c r="K182" s="4" t="n">
        <f aca="false">IF(COUNTA(A182:J182)=0,0,IF(A182="",0,COUNTIF($A$13:$A$212,A182)))</f>
        <v>0</v>
      </c>
      <c r="L182" s="4" t="n">
        <f aca="false">IF(COUNTA(A182:J182)=0,0,1)</f>
        <v>0</v>
      </c>
      <c r="M182" s="4" t="n">
        <f aca="false">IF(L182=0,0,IF(OR(A182="",NOT(ISNUMBER(B182)),C182="",NOT(ISNUMBER(F182)),F182&lt;0,J182="",K182&lt;&gt;1),1,0))</f>
        <v>0</v>
      </c>
    </row>
    <row r="183" customFormat="false" ht="15" hidden="false" customHeight="true" outlineLevel="0" collapsed="false">
      <c r="A183" s="12"/>
      <c r="B183" s="14"/>
      <c r="C183" s="12"/>
      <c r="D183" s="12"/>
      <c r="E183" s="12"/>
      <c r="F183" s="15"/>
      <c r="G183" s="12"/>
      <c r="H183" s="12"/>
      <c r="I183" s="12"/>
      <c r="J183" s="12"/>
      <c r="K183" s="4" t="n">
        <f aca="false">IF(COUNTA(A183:J183)=0,0,IF(A183="",0,COUNTIF($A$13:$A$212,A183)))</f>
        <v>0</v>
      </c>
      <c r="L183" s="4" t="n">
        <f aca="false">IF(COUNTA(A183:J183)=0,0,1)</f>
        <v>0</v>
      </c>
      <c r="M183" s="4" t="n">
        <f aca="false">IF(L183=0,0,IF(OR(A183="",NOT(ISNUMBER(B183)),C183="",NOT(ISNUMBER(F183)),F183&lt;0,J183="",K183&lt;&gt;1),1,0))</f>
        <v>0</v>
      </c>
    </row>
    <row r="184" customFormat="false" ht="15" hidden="false" customHeight="true" outlineLevel="0" collapsed="false">
      <c r="A184" s="12"/>
      <c r="B184" s="14"/>
      <c r="C184" s="12"/>
      <c r="D184" s="12"/>
      <c r="E184" s="12"/>
      <c r="F184" s="15"/>
      <c r="G184" s="12"/>
      <c r="H184" s="12"/>
      <c r="I184" s="12"/>
      <c r="J184" s="12"/>
      <c r="K184" s="4" t="n">
        <f aca="false">IF(COUNTA(A184:J184)=0,0,IF(A184="",0,COUNTIF($A$13:$A$212,A184)))</f>
        <v>0</v>
      </c>
      <c r="L184" s="4" t="n">
        <f aca="false">IF(COUNTA(A184:J184)=0,0,1)</f>
        <v>0</v>
      </c>
      <c r="M184" s="4" t="n">
        <f aca="false">IF(L184=0,0,IF(OR(A184="",NOT(ISNUMBER(B184)),C184="",NOT(ISNUMBER(F184)),F184&lt;0,J184="",K184&lt;&gt;1),1,0))</f>
        <v>0</v>
      </c>
    </row>
    <row r="185" customFormat="false" ht="15" hidden="false" customHeight="true" outlineLevel="0" collapsed="false">
      <c r="A185" s="12"/>
      <c r="B185" s="14"/>
      <c r="C185" s="12"/>
      <c r="D185" s="12"/>
      <c r="E185" s="12"/>
      <c r="F185" s="15"/>
      <c r="G185" s="12"/>
      <c r="H185" s="12"/>
      <c r="I185" s="12"/>
      <c r="J185" s="12"/>
      <c r="K185" s="4" t="n">
        <f aca="false">IF(COUNTA(A185:J185)=0,0,IF(A185="",0,COUNTIF($A$13:$A$212,A185)))</f>
        <v>0</v>
      </c>
      <c r="L185" s="4" t="n">
        <f aca="false">IF(COUNTA(A185:J185)=0,0,1)</f>
        <v>0</v>
      </c>
      <c r="M185" s="4" t="n">
        <f aca="false">IF(L185=0,0,IF(OR(A185="",NOT(ISNUMBER(B185)),C185="",NOT(ISNUMBER(F185)),F185&lt;0,J185="",K185&lt;&gt;1),1,0))</f>
        <v>0</v>
      </c>
    </row>
    <row r="186" customFormat="false" ht="15" hidden="false" customHeight="true" outlineLevel="0" collapsed="false">
      <c r="A186" s="12"/>
      <c r="B186" s="14"/>
      <c r="C186" s="12"/>
      <c r="D186" s="12"/>
      <c r="E186" s="12"/>
      <c r="F186" s="15"/>
      <c r="G186" s="12"/>
      <c r="H186" s="12"/>
      <c r="I186" s="12"/>
      <c r="J186" s="12"/>
      <c r="K186" s="4" t="n">
        <f aca="false">IF(COUNTA(A186:J186)=0,0,IF(A186="",0,COUNTIF($A$13:$A$212,A186)))</f>
        <v>0</v>
      </c>
      <c r="L186" s="4" t="n">
        <f aca="false">IF(COUNTA(A186:J186)=0,0,1)</f>
        <v>0</v>
      </c>
      <c r="M186" s="4" t="n">
        <f aca="false">IF(L186=0,0,IF(OR(A186="",NOT(ISNUMBER(B186)),C186="",NOT(ISNUMBER(F186)),F186&lt;0,J186="",K186&lt;&gt;1),1,0))</f>
        <v>0</v>
      </c>
    </row>
    <row r="187" customFormat="false" ht="15" hidden="false" customHeight="true" outlineLevel="0" collapsed="false">
      <c r="A187" s="12"/>
      <c r="B187" s="14"/>
      <c r="C187" s="12"/>
      <c r="D187" s="12"/>
      <c r="E187" s="12"/>
      <c r="F187" s="15"/>
      <c r="G187" s="12"/>
      <c r="H187" s="12"/>
      <c r="I187" s="12"/>
      <c r="J187" s="12"/>
      <c r="K187" s="4" t="n">
        <f aca="false">IF(COUNTA(A187:J187)=0,0,IF(A187="",0,COUNTIF($A$13:$A$212,A187)))</f>
        <v>0</v>
      </c>
      <c r="L187" s="4" t="n">
        <f aca="false">IF(COUNTA(A187:J187)=0,0,1)</f>
        <v>0</v>
      </c>
      <c r="M187" s="4" t="n">
        <f aca="false">IF(L187=0,0,IF(OR(A187="",NOT(ISNUMBER(B187)),C187="",NOT(ISNUMBER(F187)),F187&lt;0,J187="",K187&lt;&gt;1),1,0))</f>
        <v>0</v>
      </c>
    </row>
    <row r="188" customFormat="false" ht="15" hidden="false" customHeight="true" outlineLevel="0" collapsed="false">
      <c r="A188" s="12"/>
      <c r="B188" s="14"/>
      <c r="C188" s="12"/>
      <c r="D188" s="12"/>
      <c r="E188" s="12"/>
      <c r="F188" s="15"/>
      <c r="G188" s="12"/>
      <c r="H188" s="12"/>
      <c r="I188" s="12"/>
      <c r="J188" s="12"/>
      <c r="K188" s="4" t="n">
        <f aca="false">IF(COUNTA(A188:J188)=0,0,IF(A188="",0,COUNTIF($A$13:$A$212,A188)))</f>
        <v>0</v>
      </c>
      <c r="L188" s="4" t="n">
        <f aca="false">IF(COUNTA(A188:J188)=0,0,1)</f>
        <v>0</v>
      </c>
      <c r="M188" s="4" t="n">
        <f aca="false">IF(L188=0,0,IF(OR(A188="",NOT(ISNUMBER(B188)),C188="",NOT(ISNUMBER(F188)),F188&lt;0,J188="",K188&lt;&gt;1),1,0))</f>
        <v>0</v>
      </c>
    </row>
    <row r="189" customFormat="false" ht="15" hidden="false" customHeight="true" outlineLevel="0" collapsed="false">
      <c r="A189" s="12"/>
      <c r="B189" s="14"/>
      <c r="C189" s="12"/>
      <c r="D189" s="12"/>
      <c r="E189" s="12"/>
      <c r="F189" s="15"/>
      <c r="G189" s="12"/>
      <c r="H189" s="12"/>
      <c r="I189" s="12"/>
      <c r="J189" s="12"/>
      <c r="K189" s="4" t="n">
        <f aca="false">IF(COUNTA(A189:J189)=0,0,IF(A189="",0,COUNTIF($A$13:$A$212,A189)))</f>
        <v>0</v>
      </c>
      <c r="L189" s="4" t="n">
        <f aca="false">IF(COUNTA(A189:J189)=0,0,1)</f>
        <v>0</v>
      </c>
      <c r="M189" s="4" t="n">
        <f aca="false">IF(L189=0,0,IF(OR(A189="",NOT(ISNUMBER(B189)),C189="",NOT(ISNUMBER(F189)),F189&lt;0,J189="",K189&lt;&gt;1),1,0))</f>
        <v>0</v>
      </c>
    </row>
    <row r="190" customFormat="false" ht="15" hidden="false" customHeight="true" outlineLevel="0" collapsed="false">
      <c r="A190" s="12"/>
      <c r="B190" s="14"/>
      <c r="C190" s="12"/>
      <c r="D190" s="12"/>
      <c r="E190" s="12"/>
      <c r="F190" s="15"/>
      <c r="G190" s="12"/>
      <c r="H190" s="12"/>
      <c r="I190" s="12"/>
      <c r="J190" s="12"/>
      <c r="K190" s="4" t="n">
        <f aca="false">IF(COUNTA(A190:J190)=0,0,IF(A190="",0,COUNTIF($A$13:$A$212,A190)))</f>
        <v>0</v>
      </c>
      <c r="L190" s="4" t="n">
        <f aca="false">IF(COUNTA(A190:J190)=0,0,1)</f>
        <v>0</v>
      </c>
      <c r="M190" s="4" t="n">
        <f aca="false">IF(L190=0,0,IF(OR(A190="",NOT(ISNUMBER(B190)),C190="",NOT(ISNUMBER(F190)),F190&lt;0,J190="",K190&lt;&gt;1),1,0))</f>
        <v>0</v>
      </c>
    </row>
    <row r="191" customFormat="false" ht="15" hidden="false" customHeight="true" outlineLevel="0" collapsed="false">
      <c r="A191" s="12"/>
      <c r="B191" s="14"/>
      <c r="C191" s="12"/>
      <c r="D191" s="12"/>
      <c r="E191" s="12"/>
      <c r="F191" s="15"/>
      <c r="G191" s="12"/>
      <c r="H191" s="12"/>
      <c r="I191" s="12"/>
      <c r="J191" s="12"/>
      <c r="K191" s="4" t="n">
        <f aca="false">IF(COUNTA(A191:J191)=0,0,IF(A191="",0,COUNTIF($A$13:$A$212,A191)))</f>
        <v>0</v>
      </c>
      <c r="L191" s="4" t="n">
        <f aca="false">IF(COUNTA(A191:J191)=0,0,1)</f>
        <v>0</v>
      </c>
      <c r="M191" s="4" t="n">
        <f aca="false">IF(L191=0,0,IF(OR(A191="",NOT(ISNUMBER(B191)),C191="",NOT(ISNUMBER(F191)),F191&lt;0,J191="",K191&lt;&gt;1),1,0))</f>
        <v>0</v>
      </c>
    </row>
    <row r="192" customFormat="false" ht="15" hidden="false" customHeight="true" outlineLevel="0" collapsed="false">
      <c r="A192" s="12"/>
      <c r="B192" s="14"/>
      <c r="C192" s="12"/>
      <c r="D192" s="12"/>
      <c r="E192" s="12"/>
      <c r="F192" s="15"/>
      <c r="G192" s="12"/>
      <c r="H192" s="12"/>
      <c r="I192" s="12"/>
      <c r="J192" s="12"/>
      <c r="K192" s="4" t="n">
        <f aca="false">IF(COUNTA(A192:J192)=0,0,IF(A192="",0,COUNTIF($A$13:$A$212,A192)))</f>
        <v>0</v>
      </c>
      <c r="L192" s="4" t="n">
        <f aca="false">IF(COUNTA(A192:J192)=0,0,1)</f>
        <v>0</v>
      </c>
      <c r="M192" s="4" t="n">
        <f aca="false">IF(L192=0,0,IF(OR(A192="",NOT(ISNUMBER(B192)),C192="",NOT(ISNUMBER(F192)),F192&lt;0,J192="",K192&lt;&gt;1),1,0))</f>
        <v>0</v>
      </c>
    </row>
    <row r="193" customFormat="false" ht="15" hidden="false" customHeight="true" outlineLevel="0" collapsed="false">
      <c r="A193" s="12"/>
      <c r="B193" s="14"/>
      <c r="C193" s="12"/>
      <c r="D193" s="12"/>
      <c r="E193" s="12"/>
      <c r="F193" s="15"/>
      <c r="G193" s="12"/>
      <c r="H193" s="12"/>
      <c r="I193" s="12"/>
      <c r="J193" s="12"/>
      <c r="K193" s="4" t="n">
        <f aca="false">IF(COUNTA(A193:J193)=0,0,IF(A193="",0,COUNTIF($A$13:$A$212,A193)))</f>
        <v>0</v>
      </c>
      <c r="L193" s="4" t="n">
        <f aca="false">IF(COUNTA(A193:J193)=0,0,1)</f>
        <v>0</v>
      </c>
      <c r="M193" s="4" t="n">
        <f aca="false">IF(L193=0,0,IF(OR(A193="",NOT(ISNUMBER(B193)),C193="",NOT(ISNUMBER(F193)),F193&lt;0,J193="",K193&lt;&gt;1),1,0))</f>
        <v>0</v>
      </c>
    </row>
    <row r="194" customFormat="false" ht="15" hidden="false" customHeight="true" outlineLevel="0" collapsed="false">
      <c r="A194" s="12"/>
      <c r="B194" s="14"/>
      <c r="C194" s="12"/>
      <c r="D194" s="12"/>
      <c r="E194" s="12"/>
      <c r="F194" s="15"/>
      <c r="G194" s="12"/>
      <c r="H194" s="12"/>
      <c r="I194" s="12"/>
      <c r="J194" s="12"/>
      <c r="K194" s="4" t="n">
        <f aca="false">IF(COUNTA(A194:J194)=0,0,IF(A194="",0,COUNTIF($A$13:$A$212,A194)))</f>
        <v>0</v>
      </c>
      <c r="L194" s="4" t="n">
        <f aca="false">IF(COUNTA(A194:J194)=0,0,1)</f>
        <v>0</v>
      </c>
      <c r="M194" s="4" t="n">
        <f aca="false">IF(L194=0,0,IF(OR(A194="",NOT(ISNUMBER(B194)),C194="",NOT(ISNUMBER(F194)),F194&lt;0,J194="",K194&lt;&gt;1),1,0))</f>
        <v>0</v>
      </c>
    </row>
    <row r="195" customFormat="false" ht="15" hidden="false" customHeight="true" outlineLevel="0" collapsed="false">
      <c r="A195" s="12"/>
      <c r="B195" s="14"/>
      <c r="C195" s="12"/>
      <c r="D195" s="12"/>
      <c r="E195" s="12"/>
      <c r="F195" s="15"/>
      <c r="G195" s="12"/>
      <c r="H195" s="12"/>
      <c r="I195" s="12"/>
      <c r="J195" s="12"/>
      <c r="K195" s="4" t="n">
        <f aca="false">IF(COUNTA(A195:J195)=0,0,IF(A195="",0,COUNTIF($A$13:$A$212,A195)))</f>
        <v>0</v>
      </c>
      <c r="L195" s="4" t="n">
        <f aca="false">IF(COUNTA(A195:J195)=0,0,1)</f>
        <v>0</v>
      </c>
      <c r="M195" s="4" t="n">
        <f aca="false">IF(L195=0,0,IF(OR(A195="",NOT(ISNUMBER(B195)),C195="",NOT(ISNUMBER(F195)),F195&lt;0,J195="",K195&lt;&gt;1),1,0))</f>
        <v>0</v>
      </c>
    </row>
    <row r="196" customFormat="false" ht="15" hidden="false" customHeight="true" outlineLevel="0" collapsed="false">
      <c r="A196" s="12"/>
      <c r="B196" s="14"/>
      <c r="C196" s="12"/>
      <c r="D196" s="12"/>
      <c r="E196" s="12"/>
      <c r="F196" s="15"/>
      <c r="G196" s="12"/>
      <c r="H196" s="12"/>
      <c r="I196" s="12"/>
      <c r="J196" s="12"/>
      <c r="K196" s="4" t="n">
        <f aca="false">IF(COUNTA(A196:J196)=0,0,IF(A196="",0,COUNTIF($A$13:$A$212,A196)))</f>
        <v>0</v>
      </c>
      <c r="L196" s="4" t="n">
        <f aca="false">IF(COUNTA(A196:J196)=0,0,1)</f>
        <v>0</v>
      </c>
      <c r="M196" s="4" t="n">
        <f aca="false">IF(L196=0,0,IF(OR(A196="",NOT(ISNUMBER(B196)),C196="",NOT(ISNUMBER(F196)),F196&lt;0,J196="",K196&lt;&gt;1),1,0))</f>
        <v>0</v>
      </c>
    </row>
    <row r="197" customFormat="false" ht="15" hidden="false" customHeight="true" outlineLevel="0" collapsed="false">
      <c r="A197" s="12"/>
      <c r="B197" s="14"/>
      <c r="C197" s="12"/>
      <c r="D197" s="12"/>
      <c r="E197" s="12"/>
      <c r="F197" s="15"/>
      <c r="G197" s="12"/>
      <c r="H197" s="12"/>
      <c r="I197" s="12"/>
      <c r="J197" s="12"/>
      <c r="K197" s="4" t="n">
        <f aca="false">IF(COUNTA(A197:J197)=0,0,IF(A197="",0,COUNTIF($A$13:$A$212,A197)))</f>
        <v>0</v>
      </c>
      <c r="L197" s="4" t="n">
        <f aca="false">IF(COUNTA(A197:J197)=0,0,1)</f>
        <v>0</v>
      </c>
      <c r="M197" s="4" t="n">
        <f aca="false">IF(L197=0,0,IF(OR(A197="",NOT(ISNUMBER(B197)),C197="",NOT(ISNUMBER(F197)),F197&lt;0,J197="",K197&lt;&gt;1),1,0))</f>
        <v>0</v>
      </c>
    </row>
    <row r="198" customFormat="false" ht="15" hidden="false" customHeight="true" outlineLevel="0" collapsed="false">
      <c r="A198" s="12"/>
      <c r="B198" s="14"/>
      <c r="C198" s="12"/>
      <c r="D198" s="12"/>
      <c r="E198" s="12"/>
      <c r="F198" s="15"/>
      <c r="G198" s="12"/>
      <c r="H198" s="12"/>
      <c r="I198" s="12"/>
      <c r="J198" s="12"/>
      <c r="K198" s="4" t="n">
        <f aca="false">IF(COUNTA(A198:J198)=0,0,IF(A198="",0,COUNTIF($A$13:$A$212,A198)))</f>
        <v>0</v>
      </c>
      <c r="L198" s="4" t="n">
        <f aca="false">IF(COUNTA(A198:J198)=0,0,1)</f>
        <v>0</v>
      </c>
      <c r="M198" s="4" t="n">
        <f aca="false">IF(L198=0,0,IF(OR(A198="",NOT(ISNUMBER(B198)),C198="",NOT(ISNUMBER(F198)),F198&lt;0,J198="",K198&lt;&gt;1),1,0))</f>
        <v>0</v>
      </c>
    </row>
    <row r="199" customFormat="false" ht="15" hidden="false" customHeight="true" outlineLevel="0" collapsed="false">
      <c r="A199" s="12"/>
      <c r="B199" s="14"/>
      <c r="C199" s="12"/>
      <c r="D199" s="12"/>
      <c r="E199" s="12"/>
      <c r="F199" s="15"/>
      <c r="G199" s="12"/>
      <c r="H199" s="12"/>
      <c r="I199" s="12"/>
      <c r="J199" s="12"/>
      <c r="K199" s="4" t="n">
        <f aca="false">IF(COUNTA(A199:J199)=0,0,IF(A199="",0,COUNTIF($A$13:$A$212,A199)))</f>
        <v>0</v>
      </c>
      <c r="L199" s="4" t="n">
        <f aca="false">IF(COUNTA(A199:J199)=0,0,1)</f>
        <v>0</v>
      </c>
      <c r="M199" s="4" t="n">
        <f aca="false">IF(L199=0,0,IF(OR(A199="",NOT(ISNUMBER(B199)),C199="",NOT(ISNUMBER(F199)),F199&lt;0,J199="",K199&lt;&gt;1),1,0))</f>
        <v>0</v>
      </c>
    </row>
    <row r="200" customFormat="false" ht="15" hidden="false" customHeight="true" outlineLevel="0" collapsed="false">
      <c r="A200" s="12"/>
      <c r="B200" s="14"/>
      <c r="C200" s="12"/>
      <c r="D200" s="12"/>
      <c r="E200" s="12"/>
      <c r="F200" s="15"/>
      <c r="G200" s="12"/>
      <c r="H200" s="12"/>
      <c r="I200" s="12"/>
      <c r="J200" s="12"/>
      <c r="K200" s="4" t="n">
        <f aca="false">IF(COUNTA(A200:J200)=0,0,IF(A200="",0,COUNTIF($A$13:$A$212,A200)))</f>
        <v>0</v>
      </c>
      <c r="L200" s="4" t="n">
        <f aca="false">IF(COUNTA(A200:J200)=0,0,1)</f>
        <v>0</v>
      </c>
      <c r="M200" s="4" t="n">
        <f aca="false">IF(L200=0,0,IF(OR(A200="",NOT(ISNUMBER(B200)),C200="",NOT(ISNUMBER(F200)),F200&lt;0,J200="",K200&lt;&gt;1),1,0))</f>
        <v>0</v>
      </c>
    </row>
    <row r="201" customFormat="false" ht="15" hidden="false" customHeight="true" outlineLevel="0" collapsed="false">
      <c r="A201" s="12"/>
      <c r="B201" s="14"/>
      <c r="C201" s="12"/>
      <c r="D201" s="12"/>
      <c r="E201" s="12"/>
      <c r="F201" s="15"/>
      <c r="G201" s="12"/>
      <c r="H201" s="12"/>
      <c r="I201" s="12"/>
      <c r="J201" s="12"/>
      <c r="K201" s="4" t="n">
        <f aca="false">IF(COUNTA(A201:J201)=0,0,IF(A201="",0,COUNTIF($A$13:$A$212,A201)))</f>
        <v>0</v>
      </c>
      <c r="L201" s="4" t="n">
        <f aca="false">IF(COUNTA(A201:J201)=0,0,1)</f>
        <v>0</v>
      </c>
      <c r="M201" s="4" t="n">
        <f aca="false">IF(L201=0,0,IF(OR(A201="",NOT(ISNUMBER(B201)),C201="",NOT(ISNUMBER(F201)),F201&lt;0,J201="",K201&lt;&gt;1),1,0))</f>
        <v>0</v>
      </c>
    </row>
    <row r="202" customFormat="false" ht="15" hidden="false" customHeight="true" outlineLevel="0" collapsed="false">
      <c r="A202" s="12"/>
      <c r="B202" s="14"/>
      <c r="C202" s="12"/>
      <c r="D202" s="12"/>
      <c r="E202" s="12"/>
      <c r="F202" s="15"/>
      <c r="G202" s="12"/>
      <c r="H202" s="12"/>
      <c r="I202" s="12"/>
      <c r="J202" s="12"/>
      <c r="K202" s="4" t="n">
        <f aca="false">IF(COUNTA(A202:J202)=0,0,IF(A202="",0,COUNTIF($A$13:$A$212,A202)))</f>
        <v>0</v>
      </c>
      <c r="L202" s="4" t="n">
        <f aca="false">IF(COUNTA(A202:J202)=0,0,1)</f>
        <v>0</v>
      </c>
      <c r="M202" s="4" t="n">
        <f aca="false">IF(L202=0,0,IF(OR(A202="",NOT(ISNUMBER(B202)),C202="",NOT(ISNUMBER(F202)),F202&lt;0,J202="",K202&lt;&gt;1),1,0))</f>
        <v>0</v>
      </c>
    </row>
    <row r="203" customFormat="false" ht="15" hidden="false" customHeight="true" outlineLevel="0" collapsed="false">
      <c r="A203" s="12"/>
      <c r="B203" s="14"/>
      <c r="C203" s="12"/>
      <c r="D203" s="12"/>
      <c r="E203" s="12"/>
      <c r="F203" s="15"/>
      <c r="G203" s="12"/>
      <c r="H203" s="12"/>
      <c r="I203" s="12"/>
      <c r="J203" s="12"/>
      <c r="K203" s="4" t="n">
        <f aca="false">IF(COUNTA(A203:J203)=0,0,IF(A203="",0,COUNTIF($A$13:$A$212,A203)))</f>
        <v>0</v>
      </c>
      <c r="L203" s="4" t="n">
        <f aca="false">IF(COUNTA(A203:J203)=0,0,1)</f>
        <v>0</v>
      </c>
      <c r="M203" s="4" t="n">
        <f aca="false">IF(L203=0,0,IF(OR(A203="",NOT(ISNUMBER(B203)),C203="",NOT(ISNUMBER(F203)),F203&lt;0,J203="",K203&lt;&gt;1),1,0))</f>
        <v>0</v>
      </c>
    </row>
    <row r="204" customFormat="false" ht="15" hidden="false" customHeight="true" outlineLevel="0" collapsed="false">
      <c r="A204" s="12"/>
      <c r="B204" s="14"/>
      <c r="C204" s="12"/>
      <c r="D204" s="12"/>
      <c r="E204" s="12"/>
      <c r="F204" s="15"/>
      <c r="G204" s="12"/>
      <c r="H204" s="12"/>
      <c r="I204" s="12"/>
      <c r="J204" s="12"/>
      <c r="K204" s="4" t="n">
        <f aca="false">IF(COUNTA(A204:J204)=0,0,IF(A204="",0,COUNTIF($A$13:$A$212,A204)))</f>
        <v>0</v>
      </c>
      <c r="L204" s="4" t="n">
        <f aca="false">IF(COUNTA(A204:J204)=0,0,1)</f>
        <v>0</v>
      </c>
      <c r="M204" s="4" t="n">
        <f aca="false">IF(L204=0,0,IF(OR(A204="",NOT(ISNUMBER(B204)),C204="",NOT(ISNUMBER(F204)),F204&lt;0,J204="",K204&lt;&gt;1),1,0))</f>
        <v>0</v>
      </c>
    </row>
    <row r="205" customFormat="false" ht="15" hidden="false" customHeight="true" outlineLevel="0" collapsed="false">
      <c r="A205" s="12"/>
      <c r="B205" s="14"/>
      <c r="C205" s="12"/>
      <c r="D205" s="12"/>
      <c r="E205" s="12"/>
      <c r="F205" s="15"/>
      <c r="G205" s="12"/>
      <c r="H205" s="12"/>
      <c r="I205" s="12"/>
      <c r="J205" s="12"/>
      <c r="K205" s="4" t="n">
        <f aca="false">IF(COUNTA(A205:J205)=0,0,IF(A205="",0,COUNTIF($A$13:$A$212,A205)))</f>
        <v>0</v>
      </c>
      <c r="L205" s="4" t="n">
        <f aca="false">IF(COUNTA(A205:J205)=0,0,1)</f>
        <v>0</v>
      </c>
      <c r="M205" s="4" t="n">
        <f aca="false">IF(L205=0,0,IF(OR(A205="",NOT(ISNUMBER(B205)),C205="",NOT(ISNUMBER(F205)),F205&lt;0,J205="",K205&lt;&gt;1),1,0))</f>
        <v>0</v>
      </c>
    </row>
    <row r="206" customFormat="false" ht="15" hidden="false" customHeight="true" outlineLevel="0" collapsed="false">
      <c r="A206" s="12"/>
      <c r="B206" s="14"/>
      <c r="C206" s="12"/>
      <c r="D206" s="12"/>
      <c r="E206" s="12"/>
      <c r="F206" s="15"/>
      <c r="G206" s="12"/>
      <c r="H206" s="12"/>
      <c r="I206" s="12"/>
      <c r="J206" s="12"/>
      <c r="K206" s="4" t="n">
        <f aca="false">IF(COUNTA(A206:J206)=0,0,IF(A206="",0,COUNTIF($A$13:$A$212,A206)))</f>
        <v>0</v>
      </c>
      <c r="L206" s="4" t="n">
        <f aca="false">IF(COUNTA(A206:J206)=0,0,1)</f>
        <v>0</v>
      </c>
      <c r="M206" s="4" t="n">
        <f aca="false">IF(L206=0,0,IF(OR(A206="",NOT(ISNUMBER(B206)),C206="",NOT(ISNUMBER(F206)),F206&lt;0,J206="",K206&lt;&gt;1),1,0))</f>
        <v>0</v>
      </c>
    </row>
    <row r="207" customFormat="false" ht="15" hidden="false" customHeight="true" outlineLevel="0" collapsed="false">
      <c r="A207" s="12"/>
      <c r="B207" s="14"/>
      <c r="C207" s="12"/>
      <c r="D207" s="12"/>
      <c r="E207" s="12"/>
      <c r="F207" s="15"/>
      <c r="G207" s="12"/>
      <c r="H207" s="12"/>
      <c r="I207" s="12"/>
      <c r="J207" s="12"/>
      <c r="K207" s="4" t="n">
        <f aca="false">IF(COUNTA(A207:J207)=0,0,IF(A207="",0,COUNTIF($A$13:$A$212,A207)))</f>
        <v>0</v>
      </c>
      <c r="L207" s="4" t="n">
        <f aca="false">IF(COUNTA(A207:J207)=0,0,1)</f>
        <v>0</v>
      </c>
      <c r="M207" s="4" t="n">
        <f aca="false">IF(L207=0,0,IF(OR(A207="",NOT(ISNUMBER(B207)),C207="",NOT(ISNUMBER(F207)),F207&lt;0,J207="",K207&lt;&gt;1),1,0))</f>
        <v>0</v>
      </c>
    </row>
    <row r="208" customFormat="false" ht="15" hidden="false" customHeight="true" outlineLevel="0" collapsed="false">
      <c r="A208" s="12"/>
      <c r="B208" s="14"/>
      <c r="C208" s="12"/>
      <c r="D208" s="12"/>
      <c r="E208" s="12"/>
      <c r="F208" s="15"/>
      <c r="G208" s="12"/>
      <c r="H208" s="12"/>
      <c r="I208" s="12"/>
      <c r="J208" s="12"/>
      <c r="K208" s="4" t="n">
        <f aca="false">IF(COUNTA(A208:J208)=0,0,IF(A208="",0,COUNTIF($A$13:$A$212,A208)))</f>
        <v>0</v>
      </c>
      <c r="L208" s="4" t="n">
        <f aca="false">IF(COUNTA(A208:J208)=0,0,1)</f>
        <v>0</v>
      </c>
      <c r="M208" s="4" t="n">
        <f aca="false">IF(L208=0,0,IF(OR(A208="",NOT(ISNUMBER(B208)),C208="",NOT(ISNUMBER(F208)),F208&lt;0,J208="",K208&lt;&gt;1),1,0))</f>
        <v>0</v>
      </c>
    </row>
    <row r="209" customFormat="false" ht="15" hidden="false" customHeight="true" outlineLevel="0" collapsed="false">
      <c r="A209" s="12"/>
      <c r="B209" s="14"/>
      <c r="C209" s="12"/>
      <c r="D209" s="12"/>
      <c r="E209" s="12"/>
      <c r="F209" s="15"/>
      <c r="G209" s="12"/>
      <c r="H209" s="12"/>
      <c r="I209" s="12"/>
      <c r="J209" s="12"/>
      <c r="K209" s="4" t="n">
        <f aca="false">IF(COUNTA(A209:J209)=0,0,IF(A209="",0,COUNTIF($A$13:$A$212,A209)))</f>
        <v>0</v>
      </c>
      <c r="L209" s="4" t="n">
        <f aca="false">IF(COUNTA(A209:J209)=0,0,1)</f>
        <v>0</v>
      </c>
      <c r="M209" s="4" t="n">
        <f aca="false">IF(L209=0,0,IF(OR(A209="",NOT(ISNUMBER(B209)),C209="",NOT(ISNUMBER(F209)),F209&lt;0,J209="",K209&lt;&gt;1),1,0))</f>
        <v>0</v>
      </c>
    </row>
    <row r="210" customFormat="false" ht="15" hidden="false" customHeight="true" outlineLevel="0" collapsed="false">
      <c r="A210" s="12"/>
      <c r="B210" s="14"/>
      <c r="C210" s="12"/>
      <c r="D210" s="12"/>
      <c r="E210" s="12"/>
      <c r="F210" s="15"/>
      <c r="G210" s="12"/>
      <c r="H210" s="12"/>
      <c r="I210" s="12"/>
      <c r="J210" s="12"/>
      <c r="K210" s="4" t="n">
        <f aca="false">IF(COUNTA(A210:J210)=0,0,IF(A210="",0,COUNTIF($A$13:$A$212,A210)))</f>
        <v>0</v>
      </c>
      <c r="L210" s="4" t="n">
        <f aca="false">IF(COUNTA(A210:J210)=0,0,1)</f>
        <v>0</v>
      </c>
      <c r="M210" s="4" t="n">
        <f aca="false">IF(L210=0,0,IF(OR(A210="",NOT(ISNUMBER(B210)),C210="",NOT(ISNUMBER(F210)),F210&lt;0,J210="",K210&lt;&gt;1),1,0))</f>
        <v>0</v>
      </c>
    </row>
    <row r="211" customFormat="false" ht="15" hidden="false" customHeight="true" outlineLevel="0" collapsed="false">
      <c r="A211" s="12"/>
      <c r="B211" s="14"/>
      <c r="C211" s="12"/>
      <c r="D211" s="12"/>
      <c r="E211" s="12"/>
      <c r="F211" s="15"/>
      <c r="G211" s="12"/>
      <c r="H211" s="12"/>
      <c r="I211" s="12"/>
      <c r="J211" s="12"/>
      <c r="K211" s="4" t="n">
        <f aca="false">IF(COUNTA(A211:J211)=0,0,IF(A211="",0,COUNTIF($A$13:$A$212,A211)))</f>
        <v>0</v>
      </c>
      <c r="L211" s="4" t="n">
        <f aca="false">IF(COUNTA(A211:J211)=0,0,1)</f>
        <v>0</v>
      </c>
      <c r="M211" s="4" t="n">
        <f aca="false">IF(L211=0,0,IF(OR(A211="",NOT(ISNUMBER(B211)),C211="",NOT(ISNUMBER(F211)),F211&lt;0,J211="",K211&lt;&gt;1),1,0))</f>
        <v>0</v>
      </c>
    </row>
    <row r="212" customFormat="false" ht="15" hidden="false" customHeight="true" outlineLevel="0" collapsed="false">
      <c r="A212" s="12"/>
      <c r="B212" s="14"/>
      <c r="C212" s="12"/>
      <c r="D212" s="12"/>
      <c r="E212" s="12"/>
      <c r="F212" s="15"/>
      <c r="G212" s="12"/>
      <c r="H212" s="12"/>
      <c r="I212" s="12"/>
      <c r="J212" s="12"/>
      <c r="K212" s="4" t="n">
        <f aca="false">IF(COUNTA(A212:J212)=0,0,IF(A212="",0,COUNTIF($A$13:$A$212,A212)))</f>
        <v>0</v>
      </c>
      <c r="L212" s="4" t="n">
        <f aca="false">IF(COUNTA(A212:J212)=0,0,1)</f>
        <v>0</v>
      </c>
      <c r="M212" s="4" t="n">
        <f aca="false">IF(L212=0,0,IF(OR(A212="",NOT(ISNUMBER(B212)),C212="",NOT(ISNUMBER(F212)),F212&lt;0,J212="",K212&lt;&gt;1),1,0))</f>
        <v>0</v>
      </c>
    </row>
    <row r="213" customFormat="fals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customFormat="false" ht="15" hidden="false" customHeight="true" outlineLevel="0" collapsed="false">
      <c r="A215" s="3" t="s">
        <v>102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customFormat="false" ht="15" hidden="false" customHeight="true" outlineLevel="0" collapsed="false">
      <c r="A216" s="3" t="s">
        <v>103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customFormat="false" ht="15" hidden="false" customHeight="true" outlineLevel="0" collapsed="false">
      <c r="A217" s="3" t="s">
        <v>104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customFormat="false" ht="15" hidden="false" customHeight="true" outlineLevel="0" collapsed="false">
      <c r="A218" s="3" t="s">
        <v>105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</sheetData>
  <autoFilter ref="A12:M2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3"/>
    <col collapsed="false" customWidth="true" hidden="false" outlineLevel="0" max="13" min="2" style="1" width="17"/>
  </cols>
  <sheetData>
    <row r="1" customFormat="false" ht="27.75" hidden="false" customHeight="true" outlineLevel="0" collapsed="false">
      <c r="A1" s="2" t="s">
        <v>106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true" outlineLevel="0" collapsed="false">
      <c r="A4" s="3"/>
      <c r="B4" s="6" t="n">
        <v>46327</v>
      </c>
      <c r="C4" s="6" t="n">
        <v>46357</v>
      </c>
      <c r="D4" s="6" t="n">
        <v>46388</v>
      </c>
      <c r="E4" s="6" t="n">
        <v>46419</v>
      </c>
      <c r="F4" s="6" t="n">
        <v>46447</v>
      </c>
      <c r="G4" s="6" t="n">
        <v>46478</v>
      </c>
      <c r="H4" s="6" t="n">
        <v>46508</v>
      </c>
      <c r="I4" s="6" t="n">
        <v>46539</v>
      </c>
      <c r="J4" s="6" t="n">
        <v>46569</v>
      </c>
      <c r="K4" s="6" t="n">
        <v>46600</v>
      </c>
      <c r="L4" s="6" t="n">
        <v>46631</v>
      </c>
      <c r="M4" s="6" t="n">
        <v>46661</v>
      </c>
    </row>
    <row r="5" customFormat="false" ht="15" hidden="false" customHeight="true" outlineLevel="0" collapsed="false">
      <c r="A5" s="3" t="s">
        <v>22</v>
      </c>
      <c r="B5" s="4" t="n">
        <f aca="false">Assumptions!$B$8</f>
        <v>0</v>
      </c>
      <c r="C5" s="4" t="n">
        <f aca="false">B8</f>
        <v>5</v>
      </c>
      <c r="D5" s="4" t="n">
        <f aca="false">C8</f>
        <v>10.85</v>
      </c>
      <c r="E5" s="4" t="n">
        <f aca="false">D8</f>
        <v>18.5245</v>
      </c>
      <c r="F5" s="4" t="n">
        <f aca="false">E8</f>
        <v>27.968765</v>
      </c>
      <c r="G5" s="4" t="n">
        <f aca="false">F8</f>
        <v>39.12970205</v>
      </c>
      <c r="H5" s="4" t="n">
        <f aca="false">G8</f>
        <v>52.9558109885</v>
      </c>
      <c r="I5" s="4" t="n">
        <f aca="false">H8</f>
        <v>69.367136658845</v>
      </c>
      <c r="J5" s="4" t="n">
        <f aca="false">I8</f>
        <v>87.2861225590796</v>
      </c>
      <c r="K5" s="4" t="n">
        <f aca="false">J8</f>
        <v>106.667538882307</v>
      </c>
      <c r="L5" s="4" t="n">
        <f aca="false">K8</f>
        <v>128.467512715838</v>
      </c>
      <c r="M5" s="4" t="n">
        <f aca="false">L8</f>
        <v>152.613487334363</v>
      </c>
    </row>
    <row r="6" customFormat="false" ht="15" hidden="false" customHeight="true" outlineLevel="0" collapsed="false">
      <c r="A6" s="3" t="s">
        <v>50</v>
      </c>
      <c r="B6" s="4" t="n">
        <f aca="false">Assumptions!B26</f>
        <v>5</v>
      </c>
      <c r="C6" s="4" t="n">
        <f aca="false">Assumptions!B27</f>
        <v>6</v>
      </c>
      <c r="D6" s="4" t="n">
        <f aca="false">Assumptions!B28</f>
        <v>8</v>
      </c>
      <c r="E6" s="4" t="n">
        <f aca="false">Assumptions!B29</f>
        <v>10</v>
      </c>
      <c r="F6" s="4" t="n">
        <f aca="false">Assumptions!B30</f>
        <v>12</v>
      </c>
      <c r="G6" s="4" t="n">
        <f aca="false">Assumptions!B31</f>
        <v>15</v>
      </c>
      <c r="H6" s="4" t="n">
        <f aca="false">Assumptions!B32</f>
        <v>18</v>
      </c>
      <c r="I6" s="4" t="n">
        <f aca="false">Assumptions!B33</f>
        <v>20</v>
      </c>
      <c r="J6" s="4" t="n">
        <f aca="false">Assumptions!B34</f>
        <v>22</v>
      </c>
      <c r="K6" s="4" t="n">
        <f aca="false">Assumptions!B35</f>
        <v>25</v>
      </c>
      <c r="L6" s="4" t="n">
        <f aca="false">Assumptions!B36</f>
        <v>28</v>
      </c>
      <c r="M6" s="4" t="n">
        <f aca="false">Assumptions!B37</f>
        <v>30</v>
      </c>
    </row>
    <row r="7" customFormat="false" ht="15" hidden="false" customHeight="true" outlineLevel="0" collapsed="false">
      <c r="A7" s="3" t="s">
        <v>51</v>
      </c>
      <c r="B7" s="4" t="n">
        <f aca="false">B5*Assumptions!$B$11</f>
        <v>0</v>
      </c>
      <c r="C7" s="4" t="n">
        <f aca="false">C5*Assumptions!$B$11</f>
        <v>0.15</v>
      </c>
      <c r="D7" s="4" t="n">
        <f aca="false">D5*Assumptions!$B$11</f>
        <v>0.3255</v>
      </c>
      <c r="E7" s="4" t="n">
        <f aca="false">E5*Assumptions!$B$11</f>
        <v>0.555735</v>
      </c>
      <c r="F7" s="4" t="n">
        <f aca="false">F5*Assumptions!$B$11</f>
        <v>0.83906295</v>
      </c>
      <c r="G7" s="4" t="n">
        <f aca="false">G5*Assumptions!$B$11</f>
        <v>1.1738910615</v>
      </c>
      <c r="H7" s="4" t="n">
        <f aca="false">H5*Assumptions!$B$11</f>
        <v>1.588674329655</v>
      </c>
      <c r="I7" s="4" t="n">
        <f aca="false">I5*Assumptions!$B$11</f>
        <v>2.08101409976535</v>
      </c>
      <c r="J7" s="4" t="n">
        <f aca="false">J5*Assumptions!$B$11</f>
        <v>2.61858367677239</v>
      </c>
      <c r="K7" s="4" t="n">
        <f aca="false">K5*Assumptions!$B$11</f>
        <v>3.20002616646922</v>
      </c>
      <c r="L7" s="4" t="n">
        <f aca="false">L5*Assumptions!$B$11</f>
        <v>3.85402538147514</v>
      </c>
      <c r="M7" s="4" t="n">
        <f aca="false">M5*Assumptions!$B$11</f>
        <v>4.57840462003089</v>
      </c>
    </row>
    <row r="8" customFormat="false" ht="15" hidden="false" customHeight="true" outlineLevel="0" collapsed="false">
      <c r="A8" s="3" t="s">
        <v>11</v>
      </c>
      <c r="B8" s="4" t="n">
        <f aca="false">B5-B7+B6</f>
        <v>5</v>
      </c>
      <c r="C8" s="4" t="n">
        <f aca="false">C5-C7+C6</f>
        <v>10.85</v>
      </c>
      <c r="D8" s="4" t="n">
        <f aca="false">D5-D7+D6</f>
        <v>18.5245</v>
      </c>
      <c r="E8" s="4" t="n">
        <f aca="false">E5-E7+E6</f>
        <v>27.968765</v>
      </c>
      <c r="F8" s="4" t="n">
        <f aca="false">F5-F7+F6</f>
        <v>39.12970205</v>
      </c>
      <c r="G8" s="4" t="n">
        <f aca="false">G5-G7+G6</f>
        <v>52.9558109885</v>
      </c>
      <c r="H8" s="4" t="n">
        <f aca="false">H5-H7+H6</f>
        <v>69.367136658845</v>
      </c>
      <c r="I8" s="4" t="n">
        <f aca="false">I5-I7+I6</f>
        <v>87.2861225590796</v>
      </c>
      <c r="J8" s="4" t="n">
        <f aca="false">J5-J7+J6</f>
        <v>106.667538882307</v>
      </c>
      <c r="K8" s="4" t="n">
        <f aca="false">K5-K7+K6</f>
        <v>128.467512715838</v>
      </c>
      <c r="L8" s="4" t="n">
        <f aca="false">L5-L7+L6</f>
        <v>152.613487334363</v>
      </c>
      <c r="M8" s="4" t="n">
        <f aca="false">M5-M7+M6</f>
        <v>178.035082714332</v>
      </c>
    </row>
    <row r="9" customFormat="false" ht="15" hidden="false" customHeight="true" outlineLevel="0" collapsed="false">
      <c r="A9" s="3" t="s">
        <v>52</v>
      </c>
      <c r="B9" s="4" t="n">
        <f aca="false">B8*Assumptions!$B$10*Assumptions!$B$12</f>
        <v>300</v>
      </c>
      <c r="C9" s="4" t="n">
        <f aca="false">C8*Assumptions!$B$10*Assumptions!$B$12</f>
        <v>651</v>
      </c>
      <c r="D9" s="4" t="n">
        <f aca="false">D8*Assumptions!$B$10*Assumptions!$B$12</f>
        <v>1111.47</v>
      </c>
      <c r="E9" s="4" t="n">
        <f aca="false">E8*Assumptions!$B$10*Assumptions!$B$12</f>
        <v>1678.1259</v>
      </c>
      <c r="F9" s="4" t="n">
        <f aca="false">F8*Assumptions!$B$10*Assumptions!$B$12</f>
        <v>2347.782123</v>
      </c>
      <c r="G9" s="4" t="n">
        <f aca="false">G8*Assumptions!$B$10*Assumptions!$B$12</f>
        <v>3177.34865931</v>
      </c>
      <c r="H9" s="4" t="n">
        <f aca="false">H8*Assumptions!$B$10*Assumptions!$B$12</f>
        <v>4162.0281995307</v>
      </c>
      <c r="I9" s="4" t="n">
        <f aca="false">I8*Assumptions!$B$10*Assumptions!$B$12</f>
        <v>5237.16735354478</v>
      </c>
      <c r="J9" s="4" t="n">
        <f aca="false">J8*Assumptions!$B$10*Assumptions!$B$12</f>
        <v>6400.05233293844</v>
      </c>
      <c r="K9" s="4" t="n">
        <f aca="false">K8*Assumptions!$B$10*Assumptions!$B$12</f>
        <v>7708.05076295028</v>
      </c>
      <c r="L9" s="4" t="n">
        <f aca="false">L8*Assumptions!$B$10*Assumptions!$B$12</f>
        <v>9156.80924006177</v>
      </c>
      <c r="M9" s="4" t="n">
        <f aca="false">M8*Assumptions!$B$10*Assumptions!$B$12</f>
        <v>10682.1049628599</v>
      </c>
    </row>
    <row r="10" customFormat="false" ht="15" hidden="false" customHeight="true" outlineLevel="0" collapsed="false">
      <c r="A10" s="3" t="s">
        <v>53</v>
      </c>
      <c r="B10" s="4" t="n">
        <f aca="false">B8*Assumptions!$B$9</f>
        <v>245</v>
      </c>
      <c r="C10" s="4" t="n">
        <f aca="false">C8*Assumptions!$B$9</f>
        <v>531.65</v>
      </c>
      <c r="D10" s="4" t="n">
        <f aca="false">D8*Assumptions!$B$9</f>
        <v>907.7005</v>
      </c>
      <c r="E10" s="4" t="n">
        <f aca="false">E8*Assumptions!$B$9</f>
        <v>1370.469485</v>
      </c>
      <c r="F10" s="4" t="n">
        <f aca="false">F8*Assumptions!$B$9</f>
        <v>1917.35540045</v>
      </c>
      <c r="G10" s="4" t="n">
        <f aca="false">G8*Assumptions!$B$9</f>
        <v>2594.8347384365</v>
      </c>
      <c r="H10" s="4" t="n">
        <f aca="false">H8*Assumptions!$B$9</f>
        <v>3398.98969628341</v>
      </c>
      <c r="I10" s="4" t="n">
        <f aca="false">I8*Assumptions!$B$9</f>
        <v>4277.0200053949</v>
      </c>
      <c r="J10" s="4" t="n">
        <f aca="false">J8*Assumptions!$B$9</f>
        <v>5226.70940523306</v>
      </c>
      <c r="K10" s="4" t="n">
        <f aca="false">K8*Assumptions!$B$9</f>
        <v>6294.90812307606</v>
      </c>
      <c r="L10" s="4" t="n">
        <f aca="false">L8*Assumptions!$B$9</f>
        <v>7478.06087938378</v>
      </c>
      <c r="M10" s="4" t="n">
        <f aca="false">M8*Assumptions!$B$9</f>
        <v>8723.71905300227</v>
      </c>
    </row>
    <row r="11" customFormat="false" ht="15" hidden="false" customHeight="true" outlineLevel="0" collapsed="false">
      <c r="A11" s="3" t="s">
        <v>54</v>
      </c>
      <c r="B11" s="4" t="n">
        <f aca="false">IF(Assumptions!$B$4="Planning",SUM(Assumptions!$B$13,Assumptions!$B$14,Assumptions!$B$15),'Assumptions vs actuals'!$B$7)</f>
        <v>0.08</v>
      </c>
      <c r="C11" s="4" t="n">
        <f aca="false">IF(Assumptions!$B$4="Planning",SUM(Assumptions!$B$13,Assumptions!$B$14,Assumptions!$B$15),'Assumptions vs actuals'!$B$7)</f>
        <v>0.08</v>
      </c>
      <c r="D11" s="4" t="n">
        <f aca="false">IF(Assumptions!$B$4="Planning",SUM(Assumptions!$B$13,Assumptions!$B$14,Assumptions!$B$15),'Assumptions vs actuals'!$B$7)</f>
        <v>0.08</v>
      </c>
      <c r="E11" s="4" t="n">
        <f aca="false">IF(Assumptions!$B$4="Planning",SUM(Assumptions!$B$13,Assumptions!$B$14,Assumptions!$B$15),'Assumptions vs actuals'!$B$7)</f>
        <v>0.08</v>
      </c>
      <c r="F11" s="4" t="n">
        <f aca="false">IF(Assumptions!$B$4="Planning",SUM(Assumptions!$B$13,Assumptions!$B$14,Assumptions!$B$15),'Assumptions vs actuals'!$B$7)</f>
        <v>0.08</v>
      </c>
      <c r="G11" s="4" t="n">
        <f aca="false">IF(Assumptions!$B$4="Planning",SUM(Assumptions!$B$13,Assumptions!$B$14,Assumptions!$B$15),'Assumptions vs actuals'!$B$7)</f>
        <v>0.08</v>
      </c>
      <c r="H11" s="4" t="n">
        <f aca="false">IF(Assumptions!$B$4="Planning",SUM(Assumptions!$B$13,Assumptions!$B$14,Assumptions!$B$15),'Assumptions vs actuals'!$B$7)</f>
        <v>0.08</v>
      </c>
      <c r="I11" s="4" t="n">
        <f aca="false">IF(Assumptions!$B$4="Planning",SUM(Assumptions!$B$13,Assumptions!$B$14,Assumptions!$B$15),'Assumptions vs actuals'!$B$7)</f>
        <v>0.08</v>
      </c>
      <c r="J11" s="4" t="n">
        <f aca="false">IF(Assumptions!$B$4="Planning",SUM(Assumptions!$B$13,Assumptions!$B$14,Assumptions!$B$15),'Assumptions vs actuals'!$B$7)</f>
        <v>0.08</v>
      </c>
      <c r="K11" s="4" t="n">
        <f aca="false">IF(Assumptions!$B$4="Planning",SUM(Assumptions!$B$13,Assumptions!$B$14,Assumptions!$B$15),'Assumptions vs actuals'!$B$7)</f>
        <v>0.08</v>
      </c>
      <c r="L11" s="4" t="n">
        <f aca="false">IF(Assumptions!$B$4="Planning",SUM(Assumptions!$B$13,Assumptions!$B$14,Assumptions!$B$15),'Assumptions vs actuals'!$B$7)</f>
        <v>0.08</v>
      </c>
      <c r="M11" s="4" t="n">
        <f aca="false">IF(Assumptions!$B$4="Planning",SUM(Assumptions!$B$13,Assumptions!$B$14,Assumptions!$B$15),'Assumptions vs actuals'!$B$7)</f>
        <v>0.08</v>
      </c>
    </row>
    <row r="12" customFormat="false" ht="15" hidden="false" customHeight="true" outlineLevel="0" collapsed="false">
      <c r="A12" s="3" t="s">
        <v>55</v>
      </c>
      <c r="B12" s="4" t="n">
        <f aca="false">IF(ISNUMBER(B11),B9*B11,"Unknown")</f>
        <v>24</v>
      </c>
      <c r="C12" s="4" t="n">
        <f aca="false">IF(ISNUMBER(C11),C9*C11,"Unknown")</f>
        <v>52.08</v>
      </c>
      <c r="D12" s="4" t="n">
        <f aca="false">IF(ISNUMBER(D11),D9*D11,"Unknown")</f>
        <v>88.9176</v>
      </c>
      <c r="E12" s="4" t="n">
        <f aca="false">IF(ISNUMBER(E11),E9*E11,"Unknown")</f>
        <v>134.250072</v>
      </c>
      <c r="F12" s="4" t="n">
        <f aca="false">IF(ISNUMBER(F11),F9*F11,"Unknown")</f>
        <v>187.82256984</v>
      </c>
      <c r="G12" s="4" t="n">
        <f aca="false">IF(ISNUMBER(G11),G9*G11,"Unknown")</f>
        <v>254.1878927448</v>
      </c>
      <c r="H12" s="4" t="n">
        <f aca="false">IF(ISNUMBER(H11),H9*H11,"Unknown")</f>
        <v>332.962255962456</v>
      </c>
      <c r="I12" s="4" t="n">
        <f aca="false">IF(ISNUMBER(I11),I9*I11,"Unknown")</f>
        <v>418.973388283582</v>
      </c>
      <c r="J12" s="4" t="n">
        <f aca="false">IF(ISNUMBER(J11),J9*J11,"Unknown")</f>
        <v>512.004186635075</v>
      </c>
      <c r="K12" s="4" t="n">
        <f aca="false">IF(ISNUMBER(K11),K9*K11,"Unknown")</f>
        <v>616.644061036023</v>
      </c>
      <c r="L12" s="4" t="n">
        <f aca="false">IF(ISNUMBER(L11),L9*L11,"Unknown")</f>
        <v>732.544739204942</v>
      </c>
      <c r="M12" s="4" t="n">
        <f aca="false">IF(ISNUMBER(M11),M9*M11,"Unknown")</f>
        <v>854.568397028794</v>
      </c>
    </row>
    <row r="13" customFormat="false" ht="15" hidden="false" customHeight="true" outlineLevel="0" collapsed="false">
      <c r="A13" s="3" t="s">
        <v>56</v>
      </c>
      <c r="B13" s="4" t="n">
        <f aca="false">B10*Assumptions!$B$16+B8*Assumptions!$B$17</f>
        <v>8.85</v>
      </c>
      <c r="C13" s="4" t="n">
        <f aca="false">C10*Assumptions!$B$16+C8*Assumptions!$B$17</f>
        <v>19.2045</v>
      </c>
      <c r="D13" s="4" t="n">
        <f aca="false">D10*Assumptions!$B$16+D8*Assumptions!$B$17</f>
        <v>32.788365</v>
      </c>
      <c r="E13" s="4" t="n">
        <f aca="false">E10*Assumptions!$B$16+E8*Assumptions!$B$17</f>
        <v>49.50471405</v>
      </c>
      <c r="F13" s="4" t="n">
        <f aca="false">F10*Assumptions!$B$16+F8*Assumptions!$B$17</f>
        <v>69.2595726285</v>
      </c>
      <c r="G13" s="4" t="n">
        <f aca="false">G10*Assumptions!$B$16+G8*Assumptions!$B$17</f>
        <v>93.731785449645</v>
      </c>
      <c r="H13" s="4" t="n">
        <f aca="false">H10*Assumptions!$B$16+H8*Assumptions!$B$17</f>
        <v>122.779831886156</v>
      </c>
      <c r="I13" s="4" t="n">
        <f aca="false">I10*Assumptions!$B$16+I8*Assumptions!$B$17</f>
        <v>154.496436929571</v>
      </c>
      <c r="J13" s="4" t="n">
        <f aca="false">J10*Assumptions!$B$16+J8*Assumptions!$B$17</f>
        <v>188.801543821684</v>
      </c>
      <c r="K13" s="4" t="n">
        <f aca="false">K10*Assumptions!$B$16+K8*Assumptions!$B$17</f>
        <v>227.387497507033</v>
      </c>
      <c r="L13" s="4" t="n">
        <f aca="false">L10*Assumptions!$B$16+L8*Assumptions!$B$17</f>
        <v>270.125872581822</v>
      </c>
      <c r="M13" s="4" t="n">
        <f aca="false">M10*Assumptions!$B$16+M8*Assumptions!$B$17</f>
        <v>315.122096404368</v>
      </c>
    </row>
    <row r="14" customFormat="false" ht="15" hidden="false" customHeight="true" outlineLevel="0" collapsed="false">
      <c r="A14" s="3" t="s">
        <v>57</v>
      </c>
      <c r="B14" s="4" t="n">
        <f aca="false">IF(ISNUMBER(B12),B12+B13,"Unknown")</f>
        <v>32.85</v>
      </c>
      <c r="C14" s="4" t="n">
        <f aca="false">IF(ISNUMBER(C12),C12+C13,"Unknown")</f>
        <v>71.2845</v>
      </c>
      <c r="D14" s="4" t="n">
        <f aca="false">IF(ISNUMBER(D12),D12+D13,"Unknown")</f>
        <v>121.705965</v>
      </c>
      <c r="E14" s="4" t="n">
        <f aca="false">IF(ISNUMBER(E12),E12+E13,"Unknown")</f>
        <v>183.75478605</v>
      </c>
      <c r="F14" s="4" t="n">
        <f aca="false">IF(ISNUMBER(F12),F12+F13,"Unknown")</f>
        <v>257.0821424685</v>
      </c>
      <c r="G14" s="4" t="n">
        <f aca="false">IF(ISNUMBER(G12),G12+G13,"Unknown")</f>
        <v>347.919678194445</v>
      </c>
      <c r="H14" s="4" t="n">
        <f aca="false">IF(ISNUMBER(H12),H12+H13,"Unknown")</f>
        <v>455.742087848612</v>
      </c>
      <c r="I14" s="4" t="n">
        <f aca="false">IF(ISNUMBER(I12),I12+I13,"Unknown")</f>
        <v>573.469825213153</v>
      </c>
      <c r="J14" s="4" t="n">
        <f aca="false">IF(ISNUMBER(J12),J12+J13,"Unknown")</f>
        <v>700.805730456759</v>
      </c>
      <c r="K14" s="4" t="n">
        <f aca="false">IF(ISNUMBER(K12),K12+K13,"Unknown")</f>
        <v>844.031558543056</v>
      </c>
      <c r="L14" s="4" t="n">
        <f aca="false">IF(ISNUMBER(L12),L12+L13,"Unknown")</f>
        <v>1002.67061178676</v>
      </c>
      <c r="M14" s="4" t="n">
        <f aca="false">IF(ISNUMBER(M12),M12+M13,"Unknown")</f>
        <v>1169.69049343316</v>
      </c>
    </row>
    <row r="15" customFormat="false" ht="15" hidden="false" customHeight="true" outlineLevel="0" collapsed="false">
      <c r="A15" s="3" t="s">
        <v>7</v>
      </c>
      <c r="B15" s="4" t="n">
        <f aca="false">IF(ISNUMBER(B14),B10-B14,"Unknown")</f>
        <v>212.15</v>
      </c>
      <c r="C15" s="4" t="n">
        <f aca="false">IF(ISNUMBER(C14),C10-C14,"Unknown")</f>
        <v>460.3655</v>
      </c>
      <c r="D15" s="4" t="n">
        <f aca="false">IF(ISNUMBER(D14),D10-D14,"Unknown")</f>
        <v>785.994535</v>
      </c>
      <c r="E15" s="4" t="n">
        <f aca="false">IF(ISNUMBER(E14),E10-E14,"Unknown")</f>
        <v>1186.71469895</v>
      </c>
      <c r="F15" s="4" t="n">
        <f aca="false">IF(ISNUMBER(F14),F10-F14,"Unknown")</f>
        <v>1660.2732579815</v>
      </c>
      <c r="G15" s="4" t="n">
        <f aca="false">IF(ISNUMBER(G14),G10-G14,"Unknown")</f>
        <v>2246.91506024206</v>
      </c>
      <c r="H15" s="4" t="n">
        <f aca="false">IF(ISNUMBER(H14),H10-H14,"Unknown")</f>
        <v>2943.24760843479</v>
      </c>
      <c r="I15" s="4" t="n">
        <f aca="false">IF(ISNUMBER(I14),I10-I14,"Unknown")</f>
        <v>3703.55018018175</v>
      </c>
      <c r="J15" s="4" t="n">
        <f aca="false">IF(ISNUMBER(J14),J10-J14,"Unknown")</f>
        <v>4525.9036747763</v>
      </c>
      <c r="K15" s="4" t="n">
        <f aca="false">IF(ISNUMBER(K14),K10-K14,"Unknown")</f>
        <v>5450.87656453301</v>
      </c>
      <c r="L15" s="4" t="n">
        <f aca="false">IF(ISNUMBER(L14),L10-L14,"Unknown")</f>
        <v>6475.39026759702</v>
      </c>
      <c r="M15" s="4" t="n">
        <f aca="false">IF(ISNUMBER(M14),M10-M14,"Unknown")</f>
        <v>7554.02855956911</v>
      </c>
    </row>
    <row r="16" customFormat="false" ht="15" hidden="false" customHeight="true" outlineLevel="0" collapsed="false">
      <c r="A16" s="3" t="s">
        <v>58</v>
      </c>
      <c r="B16" s="5" t="n">
        <f aca="false">IFERROR(B15/B10,"Unknown")</f>
        <v>0.865918367346939</v>
      </c>
      <c r="C16" s="5" t="n">
        <f aca="false">IFERROR(C15/C10,"Unknown")</f>
        <v>0.865918367346939</v>
      </c>
      <c r="D16" s="5" t="n">
        <f aca="false">IFERROR(D15/D10,"Unknown")</f>
        <v>0.865918367346939</v>
      </c>
      <c r="E16" s="5" t="n">
        <f aca="false">IFERROR(E15/E10,"Unknown")</f>
        <v>0.865918367346939</v>
      </c>
      <c r="F16" s="5" t="n">
        <f aca="false">IFERROR(F15/F10,"Unknown")</f>
        <v>0.865918367346939</v>
      </c>
      <c r="G16" s="5" t="n">
        <f aca="false">IFERROR(G15/G10,"Unknown")</f>
        <v>0.865918367346939</v>
      </c>
      <c r="H16" s="5" t="n">
        <f aca="false">IFERROR(H15/H10,"Unknown")</f>
        <v>0.865918367346939</v>
      </c>
      <c r="I16" s="5" t="n">
        <f aca="false">IFERROR(I15/I10,"Unknown")</f>
        <v>0.865918367346939</v>
      </c>
      <c r="J16" s="5" t="n">
        <f aca="false">IFERROR(J15/J10,"Unknown")</f>
        <v>0.865918367346939</v>
      </c>
      <c r="K16" s="5" t="n">
        <f aca="false">IFERROR(K15/K10,"Unknown")</f>
        <v>0.865918367346939</v>
      </c>
      <c r="L16" s="5" t="n">
        <f aca="false">IFERROR(L15/L10,"Unknown")</f>
        <v>0.865918367346939</v>
      </c>
      <c r="M16" s="5" t="n">
        <f aca="false">IFERROR(M15/M10,"Unknown")</f>
        <v>0.865918367346939</v>
      </c>
    </row>
    <row r="17" customFormat="false" ht="15" hidden="false" customHeight="true" outlineLevel="0" collapsed="false">
      <c r="A17" s="3" t="s">
        <v>40</v>
      </c>
      <c r="B17" s="4" t="n">
        <f aca="false">Assumptions!$B$18</f>
        <v>50</v>
      </c>
      <c r="C17" s="4" t="n">
        <f aca="false">Assumptions!$B$18</f>
        <v>50</v>
      </c>
      <c r="D17" s="4" t="n">
        <f aca="false">Assumptions!$B$18</f>
        <v>50</v>
      </c>
      <c r="E17" s="4" t="n">
        <f aca="false">Assumptions!$B$18</f>
        <v>50</v>
      </c>
      <c r="F17" s="4" t="n">
        <f aca="false">Assumptions!$B$18</f>
        <v>50</v>
      </c>
      <c r="G17" s="4" t="n">
        <f aca="false">Assumptions!$B$18</f>
        <v>50</v>
      </c>
      <c r="H17" s="4" t="n">
        <f aca="false">Assumptions!$B$18</f>
        <v>50</v>
      </c>
      <c r="I17" s="4" t="n">
        <f aca="false">Assumptions!$B$18</f>
        <v>50</v>
      </c>
      <c r="J17" s="4" t="n">
        <f aca="false">Assumptions!$B$18</f>
        <v>50</v>
      </c>
      <c r="K17" s="4" t="n">
        <f aca="false">Assumptions!$B$18</f>
        <v>50</v>
      </c>
      <c r="L17" s="4" t="n">
        <f aca="false">Assumptions!$B$18</f>
        <v>50</v>
      </c>
      <c r="M17" s="4" t="n">
        <f aca="false">Assumptions!$B$18</f>
        <v>50</v>
      </c>
    </row>
    <row r="18" customFormat="false" ht="15" hidden="false" customHeight="true" outlineLevel="0" collapsed="false">
      <c r="A18" s="3" t="s">
        <v>59</v>
      </c>
      <c r="B18" s="4" t="n">
        <f aca="false">IF(ISNUMBER(B15),B15-B17,"Unknown")</f>
        <v>162.15</v>
      </c>
      <c r="C18" s="4" t="n">
        <f aca="false">IF(ISNUMBER(C15),C15-C17,"Unknown")</f>
        <v>410.3655</v>
      </c>
      <c r="D18" s="4" t="n">
        <f aca="false">IF(ISNUMBER(D15),D15-D17,"Unknown")</f>
        <v>735.994535</v>
      </c>
      <c r="E18" s="4" t="n">
        <f aca="false">IF(ISNUMBER(E15),E15-E17,"Unknown")</f>
        <v>1136.71469895</v>
      </c>
      <c r="F18" s="4" t="n">
        <f aca="false">IF(ISNUMBER(F15),F15-F17,"Unknown")</f>
        <v>1610.2732579815</v>
      </c>
      <c r="G18" s="4" t="n">
        <f aca="false">IF(ISNUMBER(G15),G15-G17,"Unknown")</f>
        <v>2196.91506024206</v>
      </c>
      <c r="H18" s="4" t="n">
        <f aca="false">IF(ISNUMBER(H15),H15-H17,"Unknown")</f>
        <v>2893.24760843479</v>
      </c>
      <c r="I18" s="4" t="n">
        <f aca="false">IF(ISNUMBER(I15),I15-I17,"Unknown")</f>
        <v>3653.55018018175</v>
      </c>
      <c r="J18" s="4" t="n">
        <f aca="false">IF(ISNUMBER(J15),J15-J17,"Unknown")</f>
        <v>4475.9036747763</v>
      </c>
      <c r="K18" s="4" t="n">
        <f aca="false">IF(ISNUMBER(K15),K15-K17,"Unknown")</f>
        <v>5400.87656453301</v>
      </c>
      <c r="L18" s="4" t="n">
        <f aca="false">IF(ISNUMBER(L15),L15-L17,"Unknown")</f>
        <v>6425.39026759702</v>
      </c>
      <c r="M18" s="4" t="n">
        <f aca="false">IF(ISNUMBER(M15),M15-M17,"Unknown")</f>
        <v>7504.02855956911</v>
      </c>
    </row>
    <row r="19" customFormat="false" ht="15" hidden="false" customHeight="true" outlineLevel="0" collapsed="false">
      <c r="A19" s="3" t="s">
        <v>9</v>
      </c>
      <c r="B19" s="5" t="n">
        <f aca="false">IFERROR(B18/B10,"Unknown")</f>
        <v>0.661836734693878</v>
      </c>
      <c r="C19" s="5" t="n">
        <f aca="false">IFERROR(C18/C10,"Unknown")</f>
        <v>0.771871532022947</v>
      </c>
      <c r="D19" s="5" t="n">
        <f aca="false">IFERROR(D18/D10,"Unknown")</f>
        <v>0.810834118742911</v>
      </c>
      <c r="E19" s="5" t="n">
        <f aca="false">IFERROR(E18/E10,"Unknown")</f>
        <v>0.829434519623763</v>
      </c>
      <c r="F19" s="5" t="n">
        <f aca="false">IFERROR(F18/F10,"Unknown")</f>
        <v>0.839840781528334</v>
      </c>
      <c r="G19" s="5" t="n">
        <f aca="false">IFERROR(G18/G10,"Unknown")</f>
        <v>0.846649317468977</v>
      </c>
      <c r="H19" s="5" t="n">
        <f aca="false">IFERROR(H18/H10,"Unknown")</f>
        <v>0.851208113869362</v>
      </c>
      <c r="I19" s="5" t="n">
        <f aca="false">IFERROR(I18/I10,"Unknown")</f>
        <v>0.854227984805606</v>
      </c>
      <c r="J19" s="5" t="n">
        <f aca="false">IFERROR(J18/J10,"Unknown")</f>
        <v>0.856352119039746</v>
      </c>
      <c r="K19" s="5" t="n">
        <f aca="false">IFERROR(K18/K10,"Unknown")</f>
        <v>0.857975439662783</v>
      </c>
      <c r="L19" s="5" t="n">
        <f aca="false">IFERROR(L18/L10,"Unknown")</f>
        <v>0.859232142026436</v>
      </c>
      <c r="M19" s="5" t="n">
        <f aca="false">IFERROR(M18/M10,"Unknown")</f>
        <v>0.860186866860023</v>
      </c>
    </row>
    <row r="20" customFormat="false" ht="15" hidden="false" customHeight="true" outlineLevel="0" collapsed="false">
      <c r="A20" s="3" t="s">
        <v>60</v>
      </c>
      <c r="B20" s="4" t="n">
        <f aca="false">Assumptions!$B$19</f>
        <v>1000</v>
      </c>
      <c r="C20" s="4" t="n">
        <f aca="false">Assumptions!$B$19</f>
        <v>1000</v>
      </c>
      <c r="D20" s="4" t="n">
        <f aca="false">Assumptions!$B$19</f>
        <v>1000</v>
      </c>
      <c r="E20" s="4" t="n">
        <f aca="false">Assumptions!$B$19</f>
        <v>1000</v>
      </c>
      <c r="F20" s="4" t="n">
        <f aca="false">Assumptions!$B$19</f>
        <v>1000</v>
      </c>
      <c r="G20" s="4" t="n">
        <f aca="false">Assumptions!$B$19</f>
        <v>1000</v>
      </c>
      <c r="H20" s="4" t="n">
        <f aca="false">Assumptions!$B$19</f>
        <v>1000</v>
      </c>
      <c r="I20" s="4" t="n">
        <f aca="false">Assumptions!$B$19</f>
        <v>1000</v>
      </c>
      <c r="J20" s="4" t="n">
        <f aca="false">Assumptions!$B$19</f>
        <v>1000</v>
      </c>
      <c r="K20" s="4" t="n">
        <f aca="false">Assumptions!$B$19</f>
        <v>1000</v>
      </c>
      <c r="L20" s="4" t="n">
        <f aca="false">Assumptions!$B$19</f>
        <v>1000</v>
      </c>
      <c r="M20" s="4" t="n">
        <f aca="false">Assumptions!$B$19</f>
        <v>1000</v>
      </c>
    </row>
    <row r="21" customFormat="false" ht="15" hidden="false" customHeight="true" outlineLevel="0" collapsed="false">
      <c r="A21" s="3" t="s">
        <v>42</v>
      </c>
      <c r="B21" s="4" t="n">
        <f aca="false">Assumptions!$B$20</f>
        <v>200</v>
      </c>
      <c r="C21" s="4" t="n">
        <f aca="false">Assumptions!$B$20</f>
        <v>200</v>
      </c>
      <c r="D21" s="4" t="n">
        <f aca="false">Assumptions!$B$20</f>
        <v>200</v>
      </c>
      <c r="E21" s="4" t="n">
        <f aca="false">Assumptions!$B$20</f>
        <v>200</v>
      </c>
      <c r="F21" s="4" t="n">
        <f aca="false">Assumptions!$B$20</f>
        <v>200</v>
      </c>
      <c r="G21" s="4" t="n">
        <f aca="false">Assumptions!$B$20</f>
        <v>200</v>
      </c>
      <c r="H21" s="4" t="n">
        <f aca="false">Assumptions!$B$20</f>
        <v>200</v>
      </c>
      <c r="I21" s="4" t="n">
        <f aca="false">Assumptions!$B$20</f>
        <v>200</v>
      </c>
      <c r="J21" s="4" t="n">
        <f aca="false">Assumptions!$B$20</f>
        <v>200</v>
      </c>
      <c r="K21" s="4" t="n">
        <f aca="false">Assumptions!$B$20</f>
        <v>200</v>
      </c>
      <c r="L21" s="4" t="n">
        <f aca="false">Assumptions!$B$20</f>
        <v>200</v>
      </c>
      <c r="M21" s="4" t="n">
        <f aca="false">Assumptions!$B$20</f>
        <v>200</v>
      </c>
    </row>
    <row r="22" customFormat="false" ht="15" hidden="false" customHeight="true" outlineLevel="0" collapsed="false">
      <c r="A22" s="3" t="s">
        <v>43</v>
      </c>
      <c r="B22" s="4" t="n">
        <f aca="false">Assumptions!$B$21</f>
        <v>150</v>
      </c>
      <c r="C22" s="4" t="n">
        <f aca="false">Assumptions!$B$21</f>
        <v>150</v>
      </c>
      <c r="D22" s="4" t="n">
        <f aca="false">Assumptions!$B$21</f>
        <v>150</v>
      </c>
      <c r="E22" s="4" t="n">
        <f aca="false">Assumptions!$B$21</f>
        <v>150</v>
      </c>
      <c r="F22" s="4" t="n">
        <f aca="false">Assumptions!$B$21</f>
        <v>150</v>
      </c>
      <c r="G22" s="4" t="n">
        <f aca="false">Assumptions!$B$21</f>
        <v>150</v>
      </c>
      <c r="H22" s="4" t="n">
        <f aca="false">Assumptions!$B$21</f>
        <v>150</v>
      </c>
      <c r="I22" s="4" t="n">
        <f aca="false">Assumptions!$B$21</f>
        <v>150</v>
      </c>
      <c r="J22" s="4" t="n">
        <f aca="false">Assumptions!$B$21</f>
        <v>150</v>
      </c>
      <c r="K22" s="4" t="n">
        <f aca="false">Assumptions!$B$21</f>
        <v>150</v>
      </c>
      <c r="L22" s="4" t="n">
        <f aca="false">Assumptions!$B$21</f>
        <v>150</v>
      </c>
      <c r="M22" s="4" t="n">
        <f aca="false">Assumptions!$B$21</f>
        <v>150</v>
      </c>
    </row>
    <row r="23" customFormat="false" ht="15" hidden="false" customHeight="true" outlineLevel="0" collapsed="false">
      <c r="A23" s="3" t="s">
        <v>61</v>
      </c>
      <c r="B23" s="4" t="n">
        <f aca="false">SUM(B20:B22)</f>
        <v>1350</v>
      </c>
      <c r="C23" s="4" t="n">
        <f aca="false">SUM(C20:C22)</f>
        <v>1350</v>
      </c>
      <c r="D23" s="4" t="n">
        <f aca="false">SUM(D20:D22)</f>
        <v>1350</v>
      </c>
      <c r="E23" s="4" t="n">
        <f aca="false">SUM(E20:E22)</f>
        <v>1350</v>
      </c>
      <c r="F23" s="4" t="n">
        <f aca="false">SUM(F20:F22)</f>
        <v>1350</v>
      </c>
      <c r="G23" s="4" t="n">
        <f aca="false">SUM(G20:G22)</f>
        <v>1350</v>
      </c>
      <c r="H23" s="4" t="n">
        <f aca="false">SUM(H20:H22)</f>
        <v>1350</v>
      </c>
      <c r="I23" s="4" t="n">
        <f aca="false">SUM(I20:I22)</f>
        <v>1350</v>
      </c>
      <c r="J23" s="4" t="n">
        <f aca="false">SUM(J20:J22)</f>
        <v>1350</v>
      </c>
      <c r="K23" s="4" t="n">
        <f aca="false">SUM(K20:K22)</f>
        <v>1350</v>
      </c>
      <c r="L23" s="4" t="n">
        <f aca="false">SUM(L20:L22)</f>
        <v>1350</v>
      </c>
      <c r="M23" s="4" t="n">
        <f aca="false">SUM(M20:M22)</f>
        <v>1350</v>
      </c>
    </row>
    <row r="24" customFormat="false" ht="15" hidden="false" customHeight="true" outlineLevel="0" collapsed="false">
      <c r="A24" s="3" t="s">
        <v>62</v>
      </c>
      <c r="B24" s="4" t="n">
        <f aca="false">IF(ISNUMBER(B18),B18-B23,"Unknown")</f>
        <v>-1187.85</v>
      </c>
      <c r="C24" s="4" t="n">
        <f aca="false">IF(ISNUMBER(C18),C18-C23,"Unknown")</f>
        <v>-939.6345</v>
      </c>
      <c r="D24" s="4" t="n">
        <f aca="false">IF(ISNUMBER(D18),D18-D23,"Unknown")</f>
        <v>-614.005465</v>
      </c>
      <c r="E24" s="4" t="n">
        <f aca="false">IF(ISNUMBER(E18),E18-E23,"Unknown")</f>
        <v>-213.28530105</v>
      </c>
      <c r="F24" s="4" t="n">
        <f aca="false">IF(ISNUMBER(F18),F18-F23,"Unknown")</f>
        <v>260.2732579815</v>
      </c>
      <c r="G24" s="4" t="n">
        <f aca="false">IF(ISNUMBER(G18),G18-G23,"Unknown")</f>
        <v>846.915060242055</v>
      </c>
      <c r="H24" s="4" t="n">
        <f aca="false">IF(ISNUMBER(H18),H18-H23,"Unknown")</f>
        <v>1543.24760843479</v>
      </c>
      <c r="I24" s="4" t="n">
        <f aca="false">IF(ISNUMBER(I18),I18-I23,"Unknown")</f>
        <v>2303.55018018175</v>
      </c>
      <c r="J24" s="4" t="n">
        <f aca="false">IF(ISNUMBER(J18),J18-J23,"Unknown")</f>
        <v>3125.9036747763</v>
      </c>
      <c r="K24" s="4" t="n">
        <f aca="false">IF(ISNUMBER(K18),K18-K23,"Unknown")</f>
        <v>4050.87656453301</v>
      </c>
      <c r="L24" s="4" t="n">
        <f aca="false">IF(ISNUMBER(L18),L18-L23,"Unknown")</f>
        <v>5075.39026759702</v>
      </c>
      <c r="M24" s="4" t="n">
        <f aca="false">IF(ISNUMBER(M18),M18-M23,"Unknown")</f>
        <v>6154.02855956911</v>
      </c>
    </row>
    <row r="25" customFormat="false" ht="15" hidden="false" customHeight="true" outlineLevel="0" collapsed="false">
      <c r="A25" s="3" t="s">
        <v>20</v>
      </c>
      <c r="B25" s="4" t="n">
        <f aca="false">Assumptions!$B$7</f>
        <v>10000</v>
      </c>
      <c r="C25" s="4" t="n">
        <f aca="false">B26</f>
        <v>8812.15</v>
      </c>
      <c r="D25" s="4" t="n">
        <f aca="false">C26</f>
        <v>7872.5155</v>
      </c>
      <c r="E25" s="4" t="n">
        <f aca="false">D26</f>
        <v>7258.510035</v>
      </c>
      <c r="F25" s="4" t="n">
        <f aca="false">E26</f>
        <v>7045.22473395</v>
      </c>
      <c r="G25" s="4" t="n">
        <f aca="false">F26</f>
        <v>7305.4979919315</v>
      </c>
      <c r="H25" s="4" t="n">
        <f aca="false">G26</f>
        <v>8152.41305217355</v>
      </c>
      <c r="I25" s="4" t="n">
        <f aca="false">H26</f>
        <v>9695.66066060835</v>
      </c>
      <c r="J25" s="4" t="n">
        <f aca="false">I26</f>
        <v>11999.2108407901</v>
      </c>
      <c r="K25" s="4" t="n">
        <f aca="false">J26</f>
        <v>15125.1145155664</v>
      </c>
      <c r="L25" s="4" t="n">
        <f aca="false">K26</f>
        <v>19175.9910800994</v>
      </c>
      <c r="M25" s="4" t="n">
        <f aca="false">L26</f>
        <v>24251.3813476964</v>
      </c>
    </row>
    <row r="26" customFormat="false" ht="15" hidden="false" customHeight="true" outlineLevel="0" collapsed="false">
      <c r="A26" s="3" t="s">
        <v>63</v>
      </c>
      <c r="B26" s="4" t="n">
        <f aca="false">IF(AND(ISNUMBER(B25),ISNUMBER(B24)),B25+B24,"Unknown")</f>
        <v>8812.15</v>
      </c>
      <c r="C26" s="4" t="n">
        <f aca="false">IF(AND(ISNUMBER(C25),ISNUMBER(C24)),C25+C24,"Unknown")</f>
        <v>7872.5155</v>
      </c>
      <c r="D26" s="4" t="n">
        <f aca="false">IF(AND(ISNUMBER(D25),ISNUMBER(D24)),D25+D24,"Unknown")</f>
        <v>7258.510035</v>
      </c>
      <c r="E26" s="4" t="n">
        <f aca="false">IF(AND(ISNUMBER(E25),ISNUMBER(E24)),E25+E24,"Unknown")</f>
        <v>7045.22473395</v>
      </c>
      <c r="F26" s="4" t="n">
        <f aca="false">IF(AND(ISNUMBER(F25),ISNUMBER(F24)),F25+F24,"Unknown")</f>
        <v>7305.4979919315</v>
      </c>
      <c r="G26" s="4" t="n">
        <f aca="false">IF(AND(ISNUMBER(G25),ISNUMBER(G24)),G25+G24,"Unknown")</f>
        <v>8152.41305217355</v>
      </c>
      <c r="H26" s="4" t="n">
        <f aca="false">IF(AND(ISNUMBER(H25),ISNUMBER(H24)),H25+H24,"Unknown")</f>
        <v>9695.66066060835</v>
      </c>
      <c r="I26" s="4" t="n">
        <f aca="false">IF(AND(ISNUMBER(I25),ISNUMBER(I24)),I25+I24,"Unknown")</f>
        <v>11999.2108407901</v>
      </c>
      <c r="J26" s="4" t="n">
        <f aca="false">IF(AND(ISNUMBER(J25),ISNUMBER(J24)),J25+J24,"Unknown")</f>
        <v>15125.1145155664</v>
      </c>
      <c r="K26" s="4" t="n">
        <f aca="false">IF(AND(ISNUMBER(K25),ISNUMBER(K24)),K25+K24,"Unknown")</f>
        <v>19175.9910800994</v>
      </c>
      <c r="L26" s="4" t="n">
        <f aca="false">IF(AND(ISNUMBER(L25),ISNUMBER(L24)),L25+L24,"Unknown")</f>
        <v>24251.3813476964</v>
      </c>
      <c r="M26" s="4" t="n">
        <f aca="false">IF(AND(ISNUMBER(M25),ISNUMBER(M24)),M25+M24,"Unknown")</f>
        <v>30405.4099072655</v>
      </c>
    </row>
    <row r="27" customFormat="false" ht="15" hidden="false" customHeight="true" outlineLevel="0" collapsed="false">
      <c r="A27" s="3" t="s">
        <v>64</v>
      </c>
      <c r="B27" s="4" t="n">
        <f aca="false">IF(ISNUMBER(B26),IF(B26&lt;0,1,0),"Unknown")</f>
        <v>0</v>
      </c>
      <c r="C27" s="4" t="n">
        <f aca="false">IF(ISNUMBER(C26),IF(C26&lt;0,1,0),"Unknown")</f>
        <v>0</v>
      </c>
      <c r="D27" s="4" t="n">
        <f aca="false">IF(ISNUMBER(D26),IF(D26&lt;0,1,0),"Unknown")</f>
        <v>0</v>
      </c>
      <c r="E27" s="4" t="n">
        <f aca="false">IF(ISNUMBER(E26),IF(E26&lt;0,1,0),"Unknown")</f>
        <v>0</v>
      </c>
      <c r="F27" s="4" t="n">
        <f aca="false">IF(ISNUMBER(F26),IF(F26&lt;0,1,0),"Unknown")</f>
        <v>0</v>
      </c>
      <c r="G27" s="4" t="n">
        <f aca="false">IF(ISNUMBER(G26),IF(G26&lt;0,1,0),"Unknown")</f>
        <v>0</v>
      </c>
      <c r="H27" s="4" t="n">
        <f aca="false">IF(ISNUMBER(H26),IF(H26&lt;0,1,0),"Unknown")</f>
        <v>0</v>
      </c>
      <c r="I27" s="4" t="n">
        <f aca="false">IF(ISNUMBER(I26),IF(I26&lt;0,1,0),"Unknown")</f>
        <v>0</v>
      </c>
      <c r="J27" s="4" t="n">
        <f aca="false">IF(ISNUMBER(J26),IF(J26&lt;0,1,0),"Unknown")</f>
        <v>0</v>
      </c>
      <c r="K27" s="4" t="n">
        <f aca="false">IF(ISNUMBER(K26),IF(K26&lt;0,1,0),"Unknown")</f>
        <v>0</v>
      </c>
      <c r="L27" s="4" t="n">
        <f aca="false">IF(ISNUMBER(L26),IF(L26&lt;0,1,0),"Unknown")</f>
        <v>0</v>
      </c>
      <c r="M27" s="4" t="n">
        <f aca="false">IF(ISNUMBER(M26),IF(M26&lt;0,1,0),"Unknown")</f>
        <v>0</v>
      </c>
    </row>
    <row r="28" customFormat="false" ht="15" hidden="false" customHeight="true" outlineLevel="0" collapsed="false">
      <c r="A28" s="3" t="s">
        <v>65</v>
      </c>
      <c r="B28" s="4" t="n">
        <f aca="false">IF(ISNUMBER(B26),MAX(0,-B26),"Unknown")</f>
        <v>0</v>
      </c>
      <c r="C28" s="4" t="n">
        <f aca="false">IF(ISNUMBER(C26),MAX(0,-C26),"Unknown")</f>
        <v>0</v>
      </c>
      <c r="D28" s="4" t="n">
        <f aca="false">IF(ISNUMBER(D26),MAX(0,-D26),"Unknown")</f>
        <v>0</v>
      </c>
      <c r="E28" s="4" t="n">
        <f aca="false">IF(ISNUMBER(E26),MAX(0,-E26),"Unknown")</f>
        <v>0</v>
      </c>
      <c r="F28" s="4" t="n">
        <f aca="false">IF(ISNUMBER(F26),MAX(0,-F26),"Unknown")</f>
        <v>0</v>
      </c>
      <c r="G28" s="4" t="n">
        <f aca="false">IF(ISNUMBER(G26),MAX(0,-G26),"Unknown")</f>
        <v>0</v>
      </c>
      <c r="H28" s="4" t="n">
        <f aca="false">IF(ISNUMBER(H26),MAX(0,-H26),"Unknown")</f>
        <v>0</v>
      </c>
      <c r="I28" s="4" t="n">
        <f aca="false">IF(ISNUMBER(I26),MAX(0,-I26),"Unknown")</f>
        <v>0</v>
      </c>
      <c r="J28" s="4" t="n">
        <f aca="false">IF(ISNUMBER(J26),MAX(0,-J26),"Unknown")</f>
        <v>0</v>
      </c>
      <c r="K28" s="4" t="n">
        <f aca="false">IF(ISNUMBER(K26),MAX(0,-K26),"Unknown")</f>
        <v>0</v>
      </c>
      <c r="L28" s="4" t="n">
        <f aca="false">IF(ISNUMBER(L26),MAX(0,-L26),"Unknown")</f>
        <v>0</v>
      </c>
      <c r="M28" s="4" t="n">
        <f aca="false">IF(ISNUMBER(M26),MAX(0,-M26),"Unknown")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3"/>
    <col collapsed="false" customWidth="true" hidden="false" outlineLevel="0" max="13" min="2" style="1" width="17"/>
  </cols>
  <sheetData>
    <row r="1" customFormat="false" ht="27.75" hidden="false" customHeight="true" outlineLevel="0" collapsed="false">
      <c r="A1" s="2" t="s">
        <v>107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true" outlineLevel="0" collapsed="false">
      <c r="A4" s="3"/>
      <c r="B4" s="6" t="n">
        <v>46327</v>
      </c>
      <c r="C4" s="6" t="n">
        <v>46357</v>
      </c>
      <c r="D4" s="6" t="n">
        <v>46388</v>
      </c>
      <c r="E4" s="6" t="n">
        <v>46419</v>
      </c>
      <c r="F4" s="6" t="n">
        <v>46447</v>
      </c>
      <c r="G4" s="6" t="n">
        <v>46478</v>
      </c>
      <c r="H4" s="6" t="n">
        <v>46508</v>
      </c>
      <c r="I4" s="6" t="n">
        <v>46539</v>
      </c>
      <c r="J4" s="6" t="n">
        <v>46569</v>
      </c>
      <c r="K4" s="6" t="n">
        <v>46600</v>
      </c>
      <c r="L4" s="6" t="n">
        <v>46631</v>
      </c>
      <c r="M4" s="6" t="n">
        <v>46661</v>
      </c>
    </row>
    <row r="5" customFormat="false" ht="15" hidden="false" customHeight="true" outlineLevel="0" collapsed="false">
      <c r="A5" s="3" t="s">
        <v>22</v>
      </c>
      <c r="B5" s="4" t="n">
        <f aca="false">Assumptions!$C$8</f>
        <v>0</v>
      </c>
      <c r="C5" s="4" t="n">
        <f aca="false">B8</f>
        <v>2</v>
      </c>
      <c r="D5" s="4" t="n">
        <f aca="false">C8</f>
        <v>3.84</v>
      </c>
      <c r="E5" s="4" t="n">
        <f aca="false">D8</f>
        <v>6.5328</v>
      </c>
      <c r="F5" s="4" t="n">
        <f aca="false">E8</f>
        <v>9.010176</v>
      </c>
      <c r="G5" s="4" t="n">
        <f aca="false">F8</f>
        <v>12.28936192</v>
      </c>
      <c r="H5" s="4" t="n">
        <f aca="false">G8</f>
        <v>15.3062129664</v>
      </c>
      <c r="I5" s="4" t="n">
        <f aca="false">H8</f>
        <v>19.081715929088</v>
      </c>
      <c r="J5" s="4" t="n">
        <f aca="false">I8</f>
        <v>22.555178654761</v>
      </c>
      <c r="K5" s="4" t="n">
        <f aca="false">J8</f>
        <v>26.7507643623801</v>
      </c>
      <c r="L5" s="4" t="n">
        <f aca="false">K8</f>
        <v>30.6107032133897</v>
      </c>
      <c r="M5" s="4" t="n">
        <f aca="false">L8</f>
        <v>35.1618469563185</v>
      </c>
    </row>
    <row r="6" customFormat="false" ht="15" hidden="false" customHeight="true" outlineLevel="0" collapsed="false">
      <c r="A6" s="3" t="s">
        <v>50</v>
      </c>
      <c r="B6" s="4" t="n">
        <f aca="false">Assumptions!C26</f>
        <v>2</v>
      </c>
      <c r="C6" s="4" t="n">
        <f aca="false">Assumptions!C27</f>
        <v>2</v>
      </c>
      <c r="D6" s="4" t="n">
        <f aca="false">Assumptions!C28</f>
        <v>3</v>
      </c>
      <c r="E6" s="4" t="n">
        <f aca="false">Assumptions!C29</f>
        <v>3</v>
      </c>
      <c r="F6" s="4" t="n">
        <f aca="false">Assumptions!C30</f>
        <v>4</v>
      </c>
      <c r="G6" s="4" t="n">
        <f aca="false">Assumptions!C31</f>
        <v>4</v>
      </c>
      <c r="H6" s="4" t="n">
        <f aca="false">Assumptions!C32</f>
        <v>5</v>
      </c>
      <c r="I6" s="4" t="n">
        <f aca="false">Assumptions!C33</f>
        <v>5</v>
      </c>
      <c r="J6" s="4" t="n">
        <f aca="false">Assumptions!C34</f>
        <v>6</v>
      </c>
      <c r="K6" s="4" t="n">
        <f aca="false">Assumptions!C35</f>
        <v>6</v>
      </c>
      <c r="L6" s="4" t="n">
        <f aca="false">Assumptions!C36</f>
        <v>7</v>
      </c>
      <c r="M6" s="4" t="n">
        <f aca="false">Assumptions!C37</f>
        <v>7</v>
      </c>
    </row>
    <row r="7" customFormat="false" ht="15" hidden="false" customHeight="true" outlineLevel="0" collapsed="false">
      <c r="A7" s="3" t="s">
        <v>51</v>
      </c>
      <c r="B7" s="4" t="n">
        <f aca="false">B5*Assumptions!$C$11</f>
        <v>0</v>
      </c>
      <c r="C7" s="4" t="n">
        <f aca="false">C5*Assumptions!$C$11</f>
        <v>0.16</v>
      </c>
      <c r="D7" s="4" t="n">
        <f aca="false">D5*Assumptions!$C$11</f>
        <v>0.3072</v>
      </c>
      <c r="E7" s="4" t="n">
        <f aca="false">E5*Assumptions!$C$11</f>
        <v>0.522624</v>
      </c>
      <c r="F7" s="4" t="n">
        <f aca="false">F5*Assumptions!$C$11</f>
        <v>0.72081408</v>
      </c>
      <c r="G7" s="4" t="n">
        <f aca="false">G5*Assumptions!$C$11</f>
        <v>0.9831489536</v>
      </c>
      <c r="H7" s="4" t="n">
        <f aca="false">H5*Assumptions!$C$11</f>
        <v>1.224497037312</v>
      </c>
      <c r="I7" s="4" t="n">
        <f aca="false">I5*Assumptions!$C$11</f>
        <v>1.52653727432704</v>
      </c>
      <c r="J7" s="4" t="n">
        <f aca="false">J5*Assumptions!$C$11</f>
        <v>1.80441429238088</v>
      </c>
      <c r="K7" s="4" t="n">
        <f aca="false">K5*Assumptions!$C$11</f>
        <v>2.14006114899041</v>
      </c>
      <c r="L7" s="4" t="n">
        <f aca="false">L5*Assumptions!$C$11</f>
        <v>2.44885625707117</v>
      </c>
      <c r="M7" s="4" t="n">
        <f aca="false">M5*Assumptions!$C$11</f>
        <v>2.81294775650548</v>
      </c>
    </row>
    <row r="8" customFormat="false" ht="15" hidden="false" customHeight="true" outlineLevel="0" collapsed="false">
      <c r="A8" s="3" t="s">
        <v>11</v>
      </c>
      <c r="B8" s="4" t="n">
        <f aca="false">B5-B7+B6</f>
        <v>2</v>
      </c>
      <c r="C8" s="4" t="n">
        <f aca="false">C5-C7+C6</f>
        <v>3.84</v>
      </c>
      <c r="D8" s="4" t="n">
        <f aca="false">D5-D7+D6</f>
        <v>6.5328</v>
      </c>
      <c r="E8" s="4" t="n">
        <f aca="false">E5-E7+E6</f>
        <v>9.010176</v>
      </c>
      <c r="F8" s="4" t="n">
        <f aca="false">F5-F7+F6</f>
        <v>12.28936192</v>
      </c>
      <c r="G8" s="4" t="n">
        <f aca="false">G5-G7+G6</f>
        <v>15.3062129664</v>
      </c>
      <c r="H8" s="4" t="n">
        <f aca="false">H5-H7+H6</f>
        <v>19.081715929088</v>
      </c>
      <c r="I8" s="4" t="n">
        <f aca="false">I5-I7+I6</f>
        <v>22.555178654761</v>
      </c>
      <c r="J8" s="4" t="n">
        <f aca="false">J5-J7+J6</f>
        <v>26.7507643623801</v>
      </c>
      <c r="K8" s="4" t="n">
        <f aca="false">K5-K7+K6</f>
        <v>30.6107032133897</v>
      </c>
      <c r="L8" s="4" t="n">
        <f aca="false">L5-L7+L6</f>
        <v>35.1618469563185</v>
      </c>
      <c r="M8" s="4" t="n">
        <f aca="false">M5-M7+M6</f>
        <v>39.348899199813</v>
      </c>
    </row>
    <row r="9" customFormat="false" ht="15" hidden="false" customHeight="true" outlineLevel="0" collapsed="false">
      <c r="A9" s="3" t="s">
        <v>52</v>
      </c>
      <c r="B9" s="4" t="n">
        <f aca="false">B8*Assumptions!$C$10*Assumptions!$C$12</f>
        <v>200</v>
      </c>
      <c r="C9" s="4" t="n">
        <f aca="false">C8*Assumptions!$C$10*Assumptions!$C$12</f>
        <v>384</v>
      </c>
      <c r="D9" s="4" t="n">
        <f aca="false">D8*Assumptions!$C$10*Assumptions!$C$12</f>
        <v>653.28</v>
      </c>
      <c r="E9" s="4" t="n">
        <f aca="false">E8*Assumptions!$C$10*Assumptions!$C$12</f>
        <v>901.0176</v>
      </c>
      <c r="F9" s="4" t="n">
        <f aca="false">F8*Assumptions!$C$10*Assumptions!$C$12</f>
        <v>1228.936192</v>
      </c>
      <c r="G9" s="4" t="n">
        <f aca="false">G8*Assumptions!$C$10*Assumptions!$C$12</f>
        <v>1530.62129664</v>
      </c>
      <c r="H9" s="4" t="n">
        <f aca="false">H8*Assumptions!$C$10*Assumptions!$C$12</f>
        <v>1908.1715929088</v>
      </c>
      <c r="I9" s="4" t="n">
        <f aca="false">I8*Assumptions!$C$10*Assumptions!$C$12</f>
        <v>2255.5178654761</v>
      </c>
      <c r="J9" s="4" t="n">
        <f aca="false">J8*Assumptions!$C$10*Assumptions!$C$12</f>
        <v>2675.07643623801</v>
      </c>
      <c r="K9" s="4" t="n">
        <f aca="false">K8*Assumptions!$C$10*Assumptions!$C$12</f>
        <v>3061.07032133897</v>
      </c>
      <c r="L9" s="4" t="n">
        <f aca="false">L8*Assumptions!$C$10*Assumptions!$C$12</f>
        <v>3516.18469563185</v>
      </c>
      <c r="M9" s="4" t="n">
        <f aca="false">M8*Assumptions!$C$10*Assumptions!$C$12</f>
        <v>3934.8899199813</v>
      </c>
    </row>
    <row r="10" customFormat="false" ht="15" hidden="false" customHeight="true" outlineLevel="0" collapsed="false">
      <c r="A10" s="3" t="s">
        <v>53</v>
      </c>
      <c r="B10" s="4" t="n">
        <f aca="false">B8*Assumptions!$C$9</f>
        <v>98</v>
      </c>
      <c r="C10" s="4" t="n">
        <f aca="false">C8*Assumptions!$C$9</f>
        <v>188.16</v>
      </c>
      <c r="D10" s="4" t="n">
        <f aca="false">D8*Assumptions!$C$9</f>
        <v>320.1072</v>
      </c>
      <c r="E10" s="4" t="n">
        <f aca="false">E8*Assumptions!$C$9</f>
        <v>441.498624</v>
      </c>
      <c r="F10" s="4" t="n">
        <f aca="false">F8*Assumptions!$C$9</f>
        <v>602.17873408</v>
      </c>
      <c r="G10" s="4" t="n">
        <f aca="false">G8*Assumptions!$C$9</f>
        <v>750.0044353536</v>
      </c>
      <c r="H10" s="4" t="n">
        <f aca="false">H8*Assumptions!$C$9</f>
        <v>935.004080525312</v>
      </c>
      <c r="I10" s="4" t="n">
        <f aca="false">I8*Assumptions!$C$9</f>
        <v>1105.20375408329</v>
      </c>
      <c r="J10" s="4" t="n">
        <f aca="false">J8*Assumptions!$C$9</f>
        <v>1310.78745375662</v>
      </c>
      <c r="K10" s="4" t="n">
        <f aca="false">K8*Assumptions!$C$9</f>
        <v>1499.92445745609</v>
      </c>
      <c r="L10" s="4" t="n">
        <f aca="false">L8*Assumptions!$C$9</f>
        <v>1722.93050085961</v>
      </c>
      <c r="M10" s="4" t="n">
        <f aca="false">M8*Assumptions!$C$9</f>
        <v>1928.09606079084</v>
      </c>
    </row>
    <row r="11" customFormat="false" ht="15" hidden="false" customHeight="true" outlineLevel="0" collapsed="false">
      <c r="A11" s="3" t="s">
        <v>54</v>
      </c>
      <c r="B11" s="4" t="n">
        <f aca="false">IF(Assumptions!$B$4="Planning",SUM(Assumptions!$C$13,Assumptions!$C$14,Assumptions!$C$15),'Assumptions vs actuals'!$B$7)</f>
        <v>0.285</v>
      </c>
      <c r="C11" s="4" t="n">
        <f aca="false">IF(Assumptions!$B$4="Planning",SUM(Assumptions!$C$13,Assumptions!$C$14,Assumptions!$C$15),'Assumptions vs actuals'!$B$7)</f>
        <v>0.285</v>
      </c>
      <c r="D11" s="4" t="n">
        <f aca="false">IF(Assumptions!$B$4="Planning",SUM(Assumptions!$C$13,Assumptions!$C$14,Assumptions!$C$15),'Assumptions vs actuals'!$B$7)</f>
        <v>0.285</v>
      </c>
      <c r="E11" s="4" t="n">
        <f aca="false">IF(Assumptions!$B$4="Planning",SUM(Assumptions!$C$13,Assumptions!$C$14,Assumptions!$C$15),'Assumptions vs actuals'!$B$7)</f>
        <v>0.285</v>
      </c>
      <c r="F11" s="4" t="n">
        <f aca="false">IF(Assumptions!$B$4="Planning",SUM(Assumptions!$C$13,Assumptions!$C$14,Assumptions!$C$15),'Assumptions vs actuals'!$B$7)</f>
        <v>0.285</v>
      </c>
      <c r="G11" s="4" t="n">
        <f aca="false">IF(Assumptions!$B$4="Planning",SUM(Assumptions!$C$13,Assumptions!$C$14,Assumptions!$C$15),'Assumptions vs actuals'!$B$7)</f>
        <v>0.285</v>
      </c>
      <c r="H11" s="4" t="n">
        <f aca="false">IF(Assumptions!$B$4="Planning",SUM(Assumptions!$C$13,Assumptions!$C$14,Assumptions!$C$15),'Assumptions vs actuals'!$B$7)</f>
        <v>0.285</v>
      </c>
      <c r="I11" s="4" t="n">
        <f aca="false">IF(Assumptions!$B$4="Planning",SUM(Assumptions!$C$13,Assumptions!$C$14,Assumptions!$C$15),'Assumptions vs actuals'!$B$7)</f>
        <v>0.285</v>
      </c>
      <c r="J11" s="4" t="n">
        <f aca="false">IF(Assumptions!$B$4="Planning",SUM(Assumptions!$C$13,Assumptions!$C$14,Assumptions!$C$15),'Assumptions vs actuals'!$B$7)</f>
        <v>0.285</v>
      </c>
      <c r="K11" s="4" t="n">
        <f aca="false">IF(Assumptions!$B$4="Planning",SUM(Assumptions!$C$13,Assumptions!$C$14,Assumptions!$C$15),'Assumptions vs actuals'!$B$7)</f>
        <v>0.285</v>
      </c>
      <c r="L11" s="4" t="n">
        <f aca="false">IF(Assumptions!$B$4="Planning",SUM(Assumptions!$C$13,Assumptions!$C$14,Assumptions!$C$15),'Assumptions vs actuals'!$B$7)</f>
        <v>0.285</v>
      </c>
      <c r="M11" s="4" t="n">
        <f aca="false">IF(Assumptions!$B$4="Planning",SUM(Assumptions!$C$13,Assumptions!$C$14,Assumptions!$C$15),'Assumptions vs actuals'!$B$7)</f>
        <v>0.285</v>
      </c>
    </row>
    <row r="12" customFormat="false" ht="15" hidden="false" customHeight="true" outlineLevel="0" collapsed="false">
      <c r="A12" s="3" t="s">
        <v>55</v>
      </c>
      <c r="B12" s="4" t="n">
        <f aca="false">IF(ISNUMBER(B11),B9*B11,"Unknown")</f>
        <v>57</v>
      </c>
      <c r="C12" s="4" t="n">
        <f aca="false">IF(ISNUMBER(C11),C9*C11,"Unknown")</f>
        <v>109.44</v>
      </c>
      <c r="D12" s="4" t="n">
        <f aca="false">IF(ISNUMBER(D11),D9*D11,"Unknown")</f>
        <v>186.1848</v>
      </c>
      <c r="E12" s="4" t="n">
        <f aca="false">IF(ISNUMBER(E11),E9*E11,"Unknown")</f>
        <v>256.790016</v>
      </c>
      <c r="F12" s="4" t="n">
        <f aca="false">IF(ISNUMBER(F11),F9*F11,"Unknown")</f>
        <v>350.24681472</v>
      </c>
      <c r="G12" s="4" t="n">
        <f aca="false">IF(ISNUMBER(G11),G9*G11,"Unknown")</f>
        <v>436.2270695424</v>
      </c>
      <c r="H12" s="4" t="n">
        <f aca="false">IF(ISNUMBER(H11),H9*H11,"Unknown")</f>
        <v>543.828903979008</v>
      </c>
      <c r="I12" s="4" t="n">
        <f aca="false">IF(ISNUMBER(I11),I9*I11,"Unknown")</f>
        <v>642.822591660687</v>
      </c>
      <c r="J12" s="4" t="n">
        <f aca="false">IF(ISNUMBER(J11),J9*J11,"Unknown")</f>
        <v>762.396784327832</v>
      </c>
      <c r="K12" s="4" t="n">
        <f aca="false">IF(ISNUMBER(K11),K9*K11,"Unknown")</f>
        <v>872.405041581606</v>
      </c>
      <c r="L12" s="4" t="n">
        <f aca="false">IF(ISNUMBER(L11),L9*L11,"Unknown")</f>
        <v>1002.11263825508</v>
      </c>
      <c r="M12" s="4" t="n">
        <f aca="false">IF(ISNUMBER(M11),M9*M11,"Unknown")</f>
        <v>1121.44362719467</v>
      </c>
    </row>
    <row r="13" customFormat="false" ht="15" hidden="false" customHeight="true" outlineLevel="0" collapsed="false">
      <c r="A13" s="3" t="s">
        <v>56</v>
      </c>
      <c r="B13" s="4" t="n">
        <f aca="false">B10*Assumptions!$C$16+B8*Assumptions!$C$17</f>
        <v>3.54</v>
      </c>
      <c r="C13" s="4" t="n">
        <f aca="false">C10*Assumptions!$C$16+C8*Assumptions!$C$17</f>
        <v>6.7968</v>
      </c>
      <c r="D13" s="4" t="n">
        <f aca="false">D10*Assumptions!$C$16+D8*Assumptions!$C$17</f>
        <v>11.563056</v>
      </c>
      <c r="E13" s="4" t="n">
        <f aca="false">E10*Assumptions!$C$16+E8*Assumptions!$C$17</f>
        <v>15.94801152</v>
      </c>
      <c r="F13" s="4" t="n">
        <f aca="false">F10*Assumptions!$C$16+F8*Assumptions!$C$17</f>
        <v>21.7521705984</v>
      </c>
      <c r="G13" s="4" t="n">
        <f aca="false">G10*Assumptions!$C$16+G8*Assumptions!$C$17</f>
        <v>27.091996950528</v>
      </c>
      <c r="H13" s="4" t="n">
        <f aca="false">H10*Assumptions!$C$16+H8*Assumptions!$C$17</f>
        <v>33.7746371944858</v>
      </c>
      <c r="I13" s="4" t="n">
        <f aca="false">I10*Assumptions!$C$16+I8*Assumptions!$C$17</f>
        <v>39.9226662189269</v>
      </c>
      <c r="J13" s="4" t="n">
        <f aca="false">J10*Assumptions!$C$16+J8*Assumptions!$C$17</f>
        <v>47.3488529214127</v>
      </c>
      <c r="K13" s="4" t="n">
        <f aca="false">K10*Assumptions!$C$16+K8*Assumptions!$C$17</f>
        <v>54.1809446876997</v>
      </c>
      <c r="L13" s="4" t="n">
        <f aca="false">L10*Assumptions!$C$16+L8*Assumptions!$C$17</f>
        <v>62.2364691126837</v>
      </c>
      <c r="M13" s="4" t="n">
        <f aca="false">M10*Assumptions!$C$16+M8*Assumptions!$C$17</f>
        <v>69.647551583669</v>
      </c>
    </row>
    <row r="14" customFormat="false" ht="15" hidden="false" customHeight="true" outlineLevel="0" collapsed="false">
      <c r="A14" s="3" t="s">
        <v>57</v>
      </c>
      <c r="B14" s="4" t="n">
        <f aca="false">IF(ISNUMBER(B12),B12+B13,"Unknown")</f>
        <v>60.54</v>
      </c>
      <c r="C14" s="4" t="n">
        <f aca="false">IF(ISNUMBER(C12),C12+C13,"Unknown")</f>
        <v>116.2368</v>
      </c>
      <c r="D14" s="4" t="n">
        <f aca="false">IF(ISNUMBER(D12),D12+D13,"Unknown")</f>
        <v>197.747856</v>
      </c>
      <c r="E14" s="4" t="n">
        <f aca="false">IF(ISNUMBER(E12),E12+E13,"Unknown")</f>
        <v>272.73802752</v>
      </c>
      <c r="F14" s="4" t="n">
        <f aca="false">IF(ISNUMBER(F12),F12+F13,"Unknown")</f>
        <v>371.9989853184</v>
      </c>
      <c r="G14" s="4" t="n">
        <f aca="false">IF(ISNUMBER(G12),G12+G13,"Unknown")</f>
        <v>463.319066492928</v>
      </c>
      <c r="H14" s="4" t="n">
        <f aca="false">IF(ISNUMBER(H12),H12+H13,"Unknown")</f>
        <v>577.603541173494</v>
      </c>
      <c r="I14" s="4" t="n">
        <f aca="false">IF(ISNUMBER(I12),I12+I13,"Unknown")</f>
        <v>682.745257879614</v>
      </c>
      <c r="J14" s="4" t="n">
        <f aca="false">IF(ISNUMBER(J12),J12+J13,"Unknown")</f>
        <v>809.745637249245</v>
      </c>
      <c r="K14" s="4" t="n">
        <f aca="false">IF(ISNUMBER(K12),K12+K13,"Unknown")</f>
        <v>926.585986269305</v>
      </c>
      <c r="L14" s="4" t="n">
        <f aca="false">IF(ISNUMBER(L12),L12+L13,"Unknown")</f>
        <v>1064.34910736776</v>
      </c>
      <c r="M14" s="4" t="n">
        <f aca="false">IF(ISNUMBER(M12),M12+M13,"Unknown")</f>
        <v>1191.09117877834</v>
      </c>
    </row>
    <row r="15" customFormat="false" ht="15" hidden="false" customHeight="true" outlineLevel="0" collapsed="false">
      <c r="A15" s="3" t="s">
        <v>7</v>
      </c>
      <c r="B15" s="4" t="n">
        <f aca="false">IF(ISNUMBER(B14),B10-B14,"Unknown")</f>
        <v>37.46</v>
      </c>
      <c r="C15" s="4" t="n">
        <f aca="false">IF(ISNUMBER(C14),C10-C14,"Unknown")</f>
        <v>71.9232</v>
      </c>
      <c r="D15" s="4" t="n">
        <f aca="false">IF(ISNUMBER(D14),D10-D14,"Unknown")</f>
        <v>122.359344</v>
      </c>
      <c r="E15" s="4" t="n">
        <f aca="false">IF(ISNUMBER(E14),E10-E14,"Unknown")</f>
        <v>168.76059648</v>
      </c>
      <c r="F15" s="4" t="n">
        <f aca="false">IF(ISNUMBER(F14),F10-F14,"Unknown")</f>
        <v>230.1797487616</v>
      </c>
      <c r="G15" s="4" t="n">
        <f aca="false">IF(ISNUMBER(G14),G10-G14,"Unknown")</f>
        <v>286.685368860672</v>
      </c>
      <c r="H15" s="4" t="n">
        <f aca="false">IF(ISNUMBER(H14),H10-H14,"Unknown")</f>
        <v>357.400539351818</v>
      </c>
      <c r="I15" s="4" t="n">
        <f aca="false">IF(ISNUMBER(I14),I10-I14,"Unknown")</f>
        <v>422.458496203673</v>
      </c>
      <c r="J15" s="4" t="n">
        <f aca="false">IF(ISNUMBER(J14),J10-J14,"Unknown")</f>
        <v>501.041816507379</v>
      </c>
      <c r="K15" s="4" t="n">
        <f aca="false">IF(ISNUMBER(K14),K10-K14,"Unknown")</f>
        <v>573.338471186789</v>
      </c>
      <c r="L15" s="4" t="n">
        <f aca="false">IF(ISNUMBER(L14),L10-L14,"Unknown")</f>
        <v>658.581393491845</v>
      </c>
      <c r="M15" s="4" t="n">
        <f aca="false">IF(ISNUMBER(M14),M10-M14,"Unknown")</f>
        <v>737.004882012498</v>
      </c>
    </row>
    <row r="16" customFormat="false" ht="15" hidden="false" customHeight="true" outlineLevel="0" collapsed="false">
      <c r="A16" s="3" t="s">
        <v>58</v>
      </c>
      <c r="B16" s="5" t="n">
        <f aca="false">IFERROR(B15/B10,"Unknown")</f>
        <v>0.382244897959184</v>
      </c>
      <c r="C16" s="5" t="n">
        <f aca="false">IFERROR(C15/C10,"Unknown")</f>
        <v>0.382244897959184</v>
      </c>
      <c r="D16" s="5" t="n">
        <f aca="false">IFERROR(D15/D10,"Unknown")</f>
        <v>0.382244897959184</v>
      </c>
      <c r="E16" s="5" t="n">
        <f aca="false">IFERROR(E15/E10,"Unknown")</f>
        <v>0.382244897959184</v>
      </c>
      <c r="F16" s="5" t="n">
        <f aca="false">IFERROR(F15/F10,"Unknown")</f>
        <v>0.382244897959184</v>
      </c>
      <c r="G16" s="5" t="n">
        <f aca="false">IFERROR(G15/G10,"Unknown")</f>
        <v>0.382244897959184</v>
      </c>
      <c r="H16" s="5" t="n">
        <f aca="false">IFERROR(H15/H10,"Unknown")</f>
        <v>0.382244897959184</v>
      </c>
      <c r="I16" s="5" t="n">
        <f aca="false">IFERROR(I15/I10,"Unknown")</f>
        <v>0.382244897959184</v>
      </c>
      <c r="J16" s="5" t="n">
        <f aca="false">IFERROR(J15/J10,"Unknown")</f>
        <v>0.382244897959184</v>
      </c>
      <c r="K16" s="5" t="n">
        <f aca="false">IFERROR(K15/K10,"Unknown")</f>
        <v>0.382244897959184</v>
      </c>
      <c r="L16" s="5" t="n">
        <f aca="false">IFERROR(L15/L10,"Unknown")</f>
        <v>0.382244897959184</v>
      </c>
      <c r="M16" s="5" t="n">
        <f aca="false">IFERROR(M15/M10,"Unknown")</f>
        <v>0.382244897959184</v>
      </c>
    </row>
    <row r="17" customFormat="false" ht="15" hidden="false" customHeight="true" outlineLevel="0" collapsed="false">
      <c r="A17" s="3" t="s">
        <v>40</v>
      </c>
      <c r="B17" s="4" t="n">
        <f aca="false">Assumptions!$C$18</f>
        <v>100</v>
      </c>
      <c r="C17" s="4" t="n">
        <f aca="false">Assumptions!$C$18</f>
        <v>100</v>
      </c>
      <c r="D17" s="4" t="n">
        <f aca="false">Assumptions!$C$18</f>
        <v>100</v>
      </c>
      <c r="E17" s="4" t="n">
        <f aca="false">Assumptions!$C$18</f>
        <v>100</v>
      </c>
      <c r="F17" s="4" t="n">
        <f aca="false">Assumptions!$C$18</f>
        <v>100</v>
      </c>
      <c r="G17" s="4" t="n">
        <f aca="false">Assumptions!$C$18</f>
        <v>100</v>
      </c>
      <c r="H17" s="4" t="n">
        <f aca="false">Assumptions!$C$18</f>
        <v>100</v>
      </c>
      <c r="I17" s="4" t="n">
        <f aca="false">Assumptions!$C$18</f>
        <v>100</v>
      </c>
      <c r="J17" s="4" t="n">
        <f aca="false">Assumptions!$C$18</f>
        <v>100</v>
      </c>
      <c r="K17" s="4" t="n">
        <f aca="false">Assumptions!$C$18</f>
        <v>100</v>
      </c>
      <c r="L17" s="4" t="n">
        <f aca="false">Assumptions!$C$18</f>
        <v>100</v>
      </c>
      <c r="M17" s="4" t="n">
        <f aca="false">Assumptions!$C$18</f>
        <v>100</v>
      </c>
    </row>
    <row r="18" customFormat="false" ht="15" hidden="false" customHeight="true" outlineLevel="0" collapsed="false">
      <c r="A18" s="3" t="s">
        <v>59</v>
      </c>
      <c r="B18" s="4" t="n">
        <f aca="false">IF(ISNUMBER(B15),B15-B17,"Unknown")</f>
        <v>-62.54</v>
      </c>
      <c r="C18" s="4" t="n">
        <f aca="false">IF(ISNUMBER(C15),C15-C17,"Unknown")</f>
        <v>-28.0768</v>
      </c>
      <c r="D18" s="4" t="n">
        <f aca="false">IF(ISNUMBER(D15),D15-D17,"Unknown")</f>
        <v>22.359344</v>
      </c>
      <c r="E18" s="4" t="n">
        <f aca="false">IF(ISNUMBER(E15),E15-E17,"Unknown")</f>
        <v>68.76059648</v>
      </c>
      <c r="F18" s="4" t="n">
        <f aca="false">IF(ISNUMBER(F15),F15-F17,"Unknown")</f>
        <v>130.1797487616</v>
      </c>
      <c r="G18" s="4" t="n">
        <f aca="false">IF(ISNUMBER(G15),G15-G17,"Unknown")</f>
        <v>186.685368860672</v>
      </c>
      <c r="H18" s="4" t="n">
        <f aca="false">IF(ISNUMBER(H15),H15-H17,"Unknown")</f>
        <v>257.400539351818</v>
      </c>
      <c r="I18" s="4" t="n">
        <f aca="false">IF(ISNUMBER(I15),I15-I17,"Unknown")</f>
        <v>322.458496203673</v>
      </c>
      <c r="J18" s="4" t="n">
        <f aca="false">IF(ISNUMBER(J15),J15-J17,"Unknown")</f>
        <v>401.041816507379</v>
      </c>
      <c r="K18" s="4" t="n">
        <f aca="false">IF(ISNUMBER(K15),K15-K17,"Unknown")</f>
        <v>473.338471186789</v>
      </c>
      <c r="L18" s="4" t="n">
        <f aca="false">IF(ISNUMBER(L15),L15-L17,"Unknown")</f>
        <v>558.581393491845</v>
      </c>
      <c r="M18" s="4" t="n">
        <f aca="false">IF(ISNUMBER(M15),M15-M17,"Unknown")</f>
        <v>637.004882012498</v>
      </c>
    </row>
    <row r="19" customFormat="false" ht="15" hidden="false" customHeight="true" outlineLevel="0" collapsed="false">
      <c r="A19" s="3" t="s">
        <v>9</v>
      </c>
      <c r="B19" s="5" t="n">
        <f aca="false">IFERROR(B18/B10,"Unknown")</f>
        <v>-0.638163265306122</v>
      </c>
      <c r="C19" s="5" t="n">
        <f aca="false">IFERROR(C18/C10,"Unknown")</f>
        <v>-0.14921768707483</v>
      </c>
      <c r="D19" s="5" t="n">
        <f aca="false">IFERROR(D18/D10,"Unknown")</f>
        <v>0.0698495504006159</v>
      </c>
      <c r="E19" s="5" t="n">
        <f aca="false">IFERROR(E18/E10,"Unknown")</f>
        <v>0.155743625783078</v>
      </c>
      <c r="F19" s="5" t="n">
        <f aca="false">IFERROR(F18/F10,"Unknown")</f>
        <v>0.216181245524199</v>
      </c>
      <c r="G19" s="5" t="n">
        <f aca="false">IFERROR(G18/G10,"Unknown")</f>
        <v>0.248912353128494</v>
      </c>
      <c r="H19" s="5" t="n">
        <f aca="false">IFERROR(H18/H10,"Unknown")</f>
        <v>0.275293493058558</v>
      </c>
      <c r="I19" s="5" t="n">
        <f aca="false">IFERROR(I18/I10,"Unknown")</f>
        <v>0.291763844460641</v>
      </c>
      <c r="J19" s="5" t="n">
        <f aca="false">IFERROR(J18/J10,"Unknown")</f>
        <v>0.305954878770026</v>
      </c>
      <c r="K19" s="5" t="n">
        <f aca="false">IFERROR(K18/K10,"Unknown")</f>
        <v>0.315574873677026</v>
      </c>
      <c r="L19" s="5" t="n">
        <f aca="false">IFERROR(L18/L10,"Unknown")</f>
        <v>0.324204251543029</v>
      </c>
      <c r="M19" s="5" t="n">
        <f aca="false">IFERROR(M18/M10,"Unknown")</f>
        <v>0.330380262148983</v>
      </c>
    </row>
    <row r="20" customFormat="false" ht="15" hidden="false" customHeight="true" outlineLevel="0" collapsed="false">
      <c r="A20" s="3" t="s">
        <v>60</v>
      </c>
      <c r="B20" s="4" t="n">
        <f aca="false">Assumptions!$C$19</f>
        <v>2000</v>
      </c>
      <c r="C20" s="4" t="n">
        <f aca="false">Assumptions!$C$19</f>
        <v>2000</v>
      </c>
      <c r="D20" s="4" t="n">
        <f aca="false">Assumptions!$C$19</f>
        <v>2000</v>
      </c>
      <c r="E20" s="4" t="n">
        <f aca="false">Assumptions!$C$19</f>
        <v>2000</v>
      </c>
      <c r="F20" s="4" t="n">
        <f aca="false">Assumptions!$C$19</f>
        <v>2000</v>
      </c>
      <c r="G20" s="4" t="n">
        <f aca="false">Assumptions!$C$19</f>
        <v>2000</v>
      </c>
      <c r="H20" s="4" t="n">
        <f aca="false">Assumptions!$C$19</f>
        <v>2000</v>
      </c>
      <c r="I20" s="4" t="n">
        <f aca="false">Assumptions!$C$19</f>
        <v>2000</v>
      </c>
      <c r="J20" s="4" t="n">
        <f aca="false">Assumptions!$C$19</f>
        <v>2000</v>
      </c>
      <c r="K20" s="4" t="n">
        <f aca="false">Assumptions!$C$19</f>
        <v>2000</v>
      </c>
      <c r="L20" s="4" t="n">
        <f aca="false">Assumptions!$C$19</f>
        <v>2000</v>
      </c>
      <c r="M20" s="4" t="n">
        <f aca="false">Assumptions!$C$19</f>
        <v>2000</v>
      </c>
    </row>
    <row r="21" customFormat="false" ht="15" hidden="false" customHeight="true" outlineLevel="0" collapsed="false">
      <c r="A21" s="3" t="s">
        <v>42</v>
      </c>
      <c r="B21" s="4" t="n">
        <f aca="false">Assumptions!$C$20</f>
        <v>300</v>
      </c>
      <c r="C21" s="4" t="n">
        <f aca="false">Assumptions!$C$20</f>
        <v>300</v>
      </c>
      <c r="D21" s="4" t="n">
        <f aca="false">Assumptions!$C$20</f>
        <v>300</v>
      </c>
      <c r="E21" s="4" t="n">
        <f aca="false">Assumptions!$C$20</f>
        <v>300</v>
      </c>
      <c r="F21" s="4" t="n">
        <f aca="false">Assumptions!$C$20</f>
        <v>300</v>
      </c>
      <c r="G21" s="4" t="n">
        <f aca="false">Assumptions!$C$20</f>
        <v>300</v>
      </c>
      <c r="H21" s="4" t="n">
        <f aca="false">Assumptions!$C$20</f>
        <v>300</v>
      </c>
      <c r="I21" s="4" t="n">
        <f aca="false">Assumptions!$C$20</f>
        <v>300</v>
      </c>
      <c r="J21" s="4" t="n">
        <f aca="false">Assumptions!$C$20</f>
        <v>300</v>
      </c>
      <c r="K21" s="4" t="n">
        <f aca="false">Assumptions!$C$20</f>
        <v>300</v>
      </c>
      <c r="L21" s="4" t="n">
        <f aca="false">Assumptions!$C$20</f>
        <v>300</v>
      </c>
      <c r="M21" s="4" t="n">
        <f aca="false">Assumptions!$C$20</f>
        <v>300</v>
      </c>
    </row>
    <row r="22" customFormat="false" ht="15" hidden="false" customHeight="true" outlineLevel="0" collapsed="false">
      <c r="A22" s="3" t="s">
        <v>43</v>
      </c>
      <c r="B22" s="4" t="n">
        <f aca="false">Assumptions!$C$21</f>
        <v>200</v>
      </c>
      <c r="C22" s="4" t="n">
        <f aca="false">Assumptions!$C$21</f>
        <v>200</v>
      </c>
      <c r="D22" s="4" t="n">
        <f aca="false">Assumptions!$C$21</f>
        <v>200</v>
      </c>
      <c r="E22" s="4" t="n">
        <f aca="false">Assumptions!$C$21</f>
        <v>200</v>
      </c>
      <c r="F22" s="4" t="n">
        <f aca="false">Assumptions!$C$21</f>
        <v>200</v>
      </c>
      <c r="G22" s="4" t="n">
        <f aca="false">Assumptions!$C$21</f>
        <v>200</v>
      </c>
      <c r="H22" s="4" t="n">
        <f aca="false">Assumptions!$C$21</f>
        <v>200</v>
      </c>
      <c r="I22" s="4" t="n">
        <f aca="false">Assumptions!$C$21</f>
        <v>200</v>
      </c>
      <c r="J22" s="4" t="n">
        <f aca="false">Assumptions!$C$21</f>
        <v>200</v>
      </c>
      <c r="K22" s="4" t="n">
        <f aca="false">Assumptions!$C$21</f>
        <v>200</v>
      </c>
      <c r="L22" s="4" t="n">
        <f aca="false">Assumptions!$C$21</f>
        <v>200</v>
      </c>
      <c r="M22" s="4" t="n">
        <f aca="false">Assumptions!$C$21</f>
        <v>200</v>
      </c>
    </row>
    <row r="23" customFormat="false" ht="15" hidden="false" customHeight="true" outlineLevel="0" collapsed="false">
      <c r="A23" s="3" t="s">
        <v>61</v>
      </c>
      <c r="B23" s="4" t="n">
        <f aca="false">SUM(B20:B22)</f>
        <v>2500</v>
      </c>
      <c r="C23" s="4" t="n">
        <f aca="false">SUM(C20:C22)</f>
        <v>2500</v>
      </c>
      <c r="D23" s="4" t="n">
        <f aca="false">SUM(D20:D22)</f>
        <v>2500</v>
      </c>
      <c r="E23" s="4" t="n">
        <f aca="false">SUM(E20:E22)</f>
        <v>2500</v>
      </c>
      <c r="F23" s="4" t="n">
        <f aca="false">SUM(F20:F22)</f>
        <v>2500</v>
      </c>
      <c r="G23" s="4" t="n">
        <f aca="false">SUM(G20:G22)</f>
        <v>2500</v>
      </c>
      <c r="H23" s="4" t="n">
        <f aca="false">SUM(H20:H22)</f>
        <v>2500</v>
      </c>
      <c r="I23" s="4" t="n">
        <f aca="false">SUM(I20:I22)</f>
        <v>2500</v>
      </c>
      <c r="J23" s="4" t="n">
        <f aca="false">SUM(J20:J22)</f>
        <v>2500</v>
      </c>
      <c r="K23" s="4" t="n">
        <f aca="false">SUM(K20:K22)</f>
        <v>2500</v>
      </c>
      <c r="L23" s="4" t="n">
        <f aca="false">SUM(L20:L22)</f>
        <v>2500</v>
      </c>
      <c r="M23" s="4" t="n">
        <f aca="false">SUM(M20:M22)</f>
        <v>2500</v>
      </c>
    </row>
    <row r="24" customFormat="false" ht="15" hidden="false" customHeight="true" outlineLevel="0" collapsed="false">
      <c r="A24" s="3" t="s">
        <v>62</v>
      </c>
      <c r="B24" s="4" t="n">
        <f aca="false">IF(ISNUMBER(B18),B18-B23,"Unknown")</f>
        <v>-2562.54</v>
      </c>
      <c r="C24" s="4" t="n">
        <f aca="false">IF(ISNUMBER(C18),C18-C23,"Unknown")</f>
        <v>-2528.0768</v>
      </c>
      <c r="D24" s="4" t="n">
        <f aca="false">IF(ISNUMBER(D18),D18-D23,"Unknown")</f>
        <v>-2477.640656</v>
      </c>
      <c r="E24" s="4" t="n">
        <f aca="false">IF(ISNUMBER(E18),E18-E23,"Unknown")</f>
        <v>-2431.23940352</v>
      </c>
      <c r="F24" s="4" t="n">
        <f aca="false">IF(ISNUMBER(F18),F18-F23,"Unknown")</f>
        <v>-2369.8202512384</v>
      </c>
      <c r="G24" s="4" t="n">
        <f aca="false">IF(ISNUMBER(G18),G18-G23,"Unknown")</f>
        <v>-2313.31463113933</v>
      </c>
      <c r="H24" s="4" t="n">
        <f aca="false">IF(ISNUMBER(H18),H18-H23,"Unknown")</f>
        <v>-2242.59946064818</v>
      </c>
      <c r="I24" s="4" t="n">
        <f aca="false">IF(ISNUMBER(I18),I18-I23,"Unknown")</f>
        <v>-2177.54150379633</v>
      </c>
      <c r="J24" s="4" t="n">
        <f aca="false">IF(ISNUMBER(J18),J18-J23,"Unknown")</f>
        <v>-2098.95818349262</v>
      </c>
      <c r="K24" s="4" t="n">
        <f aca="false">IF(ISNUMBER(K18),K18-K23,"Unknown")</f>
        <v>-2026.66152881321</v>
      </c>
      <c r="L24" s="4" t="n">
        <f aca="false">IF(ISNUMBER(L18),L18-L23,"Unknown")</f>
        <v>-1941.41860650815</v>
      </c>
      <c r="M24" s="4" t="n">
        <f aca="false">IF(ISNUMBER(M18),M18-M23,"Unknown")</f>
        <v>-1862.9951179875</v>
      </c>
    </row>
    <row r="25" customFormat="false" ht="15" hidden="false" customHeight="true" outlineLevel="0" collapsed="false">
      <c r="A25" s="3" t="s">
        <v>20</v>
      </c>
      <c r="B25" s="4" t="n">
        <f aca="false">Assumptions!$C$7</f>
        <v>10000</v>
      </c>
      <c r="C25" s="4" t="n">
        <f aca="false">B26</f>
        <v>7437.46</v>
      </c>
      <c r="D25" s="4" t="n">
        <f aca="false">C26</f>
        <v>4909.3832</v>
      </c>
      <c r="E25" s="4" t="n">
        <f aca="false">D26</f>
        <v>2431.742544</v>
      </c>
      <c r="F25" s="4" t="n">
        <f aca="false">E26</f>
        <v>0.503140480000184</v>
      </c>
      <c r="G25" s="4" t="n">
        <f aca="false">F26</f>
        <v>-2369.3171107584</v>
      </c>
      <c r="H25" s="4" t="n">
        <f aca="false">G26</f>
        <v>-4682.63174189773</v>
      </c>
      <c r="I25" s="4" t="n">
        <f aca="false">H26</f>
        <v>-6925.23120254591</v>
      </c>
      <c r="J25" s="4" t="n">
        <f aca="false">I26</f>
        <v>-9102.77270634224</v>
      </c>
      <c r="K25" s="4" t="n">
        <f aca="false">J26</f>
        <v>-11201.7308898349</v>
      </c>
      <c r="L25" s="4" t="n">
        <f aca="false">K26</f>
        <v>-13228.3924186481</v>
      </c>
      <c r="M25" s="4" t="n">
        <f aca="false">L26</f>
        <v>-15169.8110251562</v>
      </c>
    </row>
    <row r="26" customFormat="false" ht="15" hidden="false" customHeight="true" outlineLevel="0" collapsed="false">
      <c r="A26" s="3" t="s">
        <v>63</v>
      </c>
      <c r="B26" s="4" t="n">
        <f aca="false">IF(AND(ISNUMBER(B25),ISNUMBER(B24)),B25+B24,"Unknown")</f>
        <v>7437.46</v>
      </c>
      <c r="C26" s="4" t="n">
        <f aca="false">IF(AND(ISNUMBER(C25),ISNUMBER(C24)),C25+C24,"Unknown")</f>
        <v>4909.3832</v>
      </c>
      <c r="D26" s="4" t="n">
        <f aca="false">IF(AND(ISNUMBER(D25),ISNUMBER(D24)),D25+D24,"Unknown")</f>
        <v>2431.742544</v>
      </c>
      <c r="E26" s="4" t="n">
        <f aca="false">IF(AND(ISNUMBER(E25),ISNUMBER(E24)),E25+E24,"Unknown")</f>
        <v>0.503140480000184</v>
      </c>
      <c r="F26" s="4" t="n">
        <f aca="false">IF(AND(ISNUMBER(F25),ISNUMBER(F24)),F25+F24,"Unknown")</f>
        <v>-2369.3171107584</v>
      </c>
      <c r="G26" s="4" t="n">
        <f aca="false">IF(AND(ISNUMBER(G25),ISNUMBER(G24)),G25+G24,"Unknown")</f>
        <v>-4682.63174189773</v>
      </c>
      <c r="H26" s="4" t="n">
        <f aca="false">IF(AND(ISNUMBER(H25),ISNUMBER(H24)),H25+H24,"Unknown")</f>
        <v>-6925.23120254591</v>
      </c>
      <c r="I26" s="4" t="n">
        <f aca="false">IF(AND(ISNUMBER(I25),ISNUMBER(I24)),I25+I24,"Unknown")</f>
        <v>-9102.77270634224</v>
      </c>
      <c r="J26" s="4" t="n">
        <f aca="false">IF(AND(ISNUMBER(J25),ISNUMBER(J24)),J25+J24,"Unknown")</f>
        <v>-11201.7308898349</v>
      </c>
      <c r="K26" s="4" t="n">
        <f aca="false">IF(AND(ISNUMBER(K25),ISNUMBER(K24)),K25+K24,"Unknown")</f>
        <v>-13228.3924186481</v>
      </c>
      <c r="L26" s="4" t="n">
        <f aca="false">IF(AND(ISNUMBER(L25),ISNUMBER(L24)),L25+L24,"Unknown")</f>
        <v>-15169.8110251562</v>
      </c>
      <c r="M26" s="4" t="n">
        <f aca="false">IF(AND(ISNUMBER(M25),ISNUMBER(M24)),M25+M24,"Unknown")</f>
        <v>-17032.8061431437</v>
      </c>
    </row>
    <row r="27" customFormat="false" ht="15" hidden="false" customHeight="true" outlineLevel="0" collapsed="false">
      <c r="A27" s="3" t="s">
        <v>64</v>
      </c>
      <c r="B27" s="4" t="n">
        <f aca="false">IF(ISNUMBER(B26),IF(B26&lt;0,1,0),"Unknown")</f>
        <v>0</v>
      </c>
      <c r="C27" s="4" t="n">
        <f aca="false">IF(ISNUMBER(C26),IF(C26&lt;0,1,0),"Unknown")</f>
        <v>0</v>
      </c>
      <c r="D27" s="4" t="n">
        <f aca="false">IF(ISNUMBER(D26),IF(D26&lt;0,1,0),"Unknown")</f>
        <v>0</v>
      </c>
      <c r="E27" s="4" t="n">
        <f aca="false">IF(ISNUMBER(E26),IF(E26&lt;0,1,0),"Unknown")</f>
        <v>0</v>
      </c>
      <c r="F27" s="4" t="n">
        <f aca="false">IF(ISNUMBER(F26),IF(F26&lt;0,1,0),"Unknown")</f>
        <v>1</v>
      </c>
      <c r="G27" s="4" t="n">
        <f aca="false">IF(ISNUMBER(G26),IF(G26&lt;0,1,0),"Unknown")</f>
        <v>1</v>
      </c>
      <c r="H27" s="4" t="n">
        <f aca="false">IF(ISNUMBER(H26),IF(H26&lt;0,1,0),"Unknown")</f>
        <v>1</v>
      </c>
      <c r="I27" s="4" t="n">
        <f aca="false">IF(ISNUMBER(I26),IF(I26&lt;0,1,0),"Unknown")</f>
        <v>1</v>
      </c>
      <c r="J27" s="4" t="n">
        <f aca="false">IF(ISNUMBER(J26),IF(J26&lt;0,1,0),"Unknown")</f>
        <v>1</v>
      </c>
      <c r="K27" s="4" t="n">
        <f aca="false">IF(ISNUMBER(K26),IF(K26&lt;0,1,0),"Unknown")</f>
        <v>1</v>
      </c>
      <c r="L27" s="4" t="n">
        <f aca="false">IF(ISNUMBER(L26),IF(L26&lt;0,1,0),"Unknown")</f>
        <v>1</v>
      </c>
      <c r="M27" s="4" t="n">
        <f aca="false">IF(ISNUMBER(M26),IF(M26&lt;0,1,0),"Unknown")</f>
        <v>1</v>
      </c>
    </row>
    <row r="28" customFormat="false" ht="15" hidden="false" customHeight="true" outlineLevel="0" collapsed="false">
      <c r="A28" s="3" t="s">
        <v>65</v>
      </c>
      <c r="B28" s="4" t="n">
        <f aca="false">IF(ISNUMBER(B26),MAX(0,-B26),"Unknown")</f>
        <v>0</v>
      </c>
      <c r="C28" s="4" t="n">
        <f aca="false">IF(ISNUMBER(C26),MAX(0,-C26),"Unknown")</f>
        <v>0</v>
      </c>
      <c r="D28" s="4" t="n">
        <f aca="false">IF(ISNUMBER(D26),MAX(0,-D26),"Unknown")</f>
        <v>0</v>
      </c>
      <c r="E28" s="4" t="n">
        <f aca="false">IF(ISNUMBER(E26),MAX(0,-E26),"Unknown")</f>
        <v>0</v>
      </c>
      <c r="F28" s="4" t="n">
        <f aca="false">IF(ISNUMBER(F26),MAX(0,-F26),"Unknown")</f>
        <v>2369.3171107584</v>
      </c>
      <c r="G28" s="4" t="n">
        <f aca="false">IF(ISNUMBER(G26),MAX(0,-G26),"Unknown")</f>
        <v>4682.63174189773</v>
      </c>
      <c r="H28" s="4" t="n">
        <f aca="false">IF(ISNUMBER(H26),MAX(0,-H26),"Unknown")</f>
        <v>6925.23120254591</v>
      </c>
      <c r="I28" s="4" t="n">
        <f aca="false">IF(ISNUMBER(I26),MAX(0,-I26),"Unknown")</f>
        <v>9102.77270634224</v>
      </c>
      <c r="J28" s="4" t="n">
        <f aca="false">IF(ISNUMBER(J26),MAX(0,-J26),"Unknown")</f>
        <v>11201.7308898349</v>
      </c>
      <c r="K28" s="4" t="n">
        <f aca="false">IF(ISNUMBER(K26),MAX(0,-K26),"Unknown")</f>
        <v>13228.3924186481</v>
      </c>
      <c r="L28" s="4" t="n">
        <f aca="false">IF(ISNUMBER(L26),MAX(0,-L26),"Unknown")</f>
        <v>15169.8110251562</v>
      </c>
      <c r="M28" s="4" t="n">
        <f aca="false">IF(ISNUMBER(M26),MAX(0,-M26),"Unknown")</f>
        <v>17032.8061431437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3"/>
    <col collapsed="false" customWidth="true" hidden="false" outlineLevel="0" max="13" min="2" style="1" width="17"/>
  </cols>
  <sheetData>
    <row r="1" customFormat="false" ht="27.75" hidden="false" customHeight="true" outlineLevel="0" collapsed="false">
      <c r="A1" s="2" t="s">
        <v>108</v>
      </c>
      <c r="B1" s="3"/>
      <c r="C1" s="3"/>
      <c r="D1" s="3"/>
      <c r="E1" s="3"/>
    </row>
    <row r="2" customFormat="false" ht="15" hidden="false" customHeight="true" outlineLevel="0" collapsed="false">
      <c r="A2" s="3" t="s">
        <v>109</v>
      </c>
      <c r="B2" s="3" t="s">
        <v>110</v>
      </c>
      <c r="C2" s="3" t="s">
        <v>111</v>
      </c>
      <c r="D2" s="3" t="s">
        <v>112</v>
      </c>
      <c r="E2" s="3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3"/>
    <col collapsed="false" customWidth="true" hidden="false" outlineLevel="0" max="13" min="2" style="1" width="17"/>
  </cols>
  <sheetData>
    <row r="1" customFormat="false" ht="27.75" hidden="false" customHeight="true" outlineLevel="0" collapsed="false">
      <c r="A1" s="2" t="s">
        <v>114</v>
      </c>
    </row>
    <row r="2" customFormat="false" ht="36" hidden="false" customHeight="true" outlineLevel="0" collapsed="false">
      <c r="A2" s="7" t="s">
        <v>115</v>
      </c>
      <c r="B2" s="7"/>
      <c r="C2" s="7"/>
      <c r="D2" s="7"/>
      <c r="E2" s="7"/>
      <c r="F2" s="7"/>
    </row>
    <row r="3" customFormat="false" ht="36" hidden="false" customHeight="true" outlineLevel="0" collapsed="false">
      <c r="A3" s="7" t="s">
        <v>116</v>
      </c>
      <c r="B3" s="7"/>
      <c r="C3" s="7"/>
      <c r="D3" s="7"/>
      <c r="E3" s="7"/>
      <c r="F3" s="7"/>
    </row>
    <row r="4" customFormat="false" ht="36" hidden="false" customHeight="true" outlineLevel="0" collapsed="false">
      <c r="A4" s="7" t="s">
        <v>117</v>
      </c>
      <c r="B4" s="7"/>
      <c r="C4" s="7"/>
      <c r="D4" s="7"/>
      <c r="E4" s="7"/>
      <c r="F4" s="7"/>
    </row>
    <row r="5" customFormat="false" ht="36" hidden="false" customHeight="true" outlineLevel="0" collapsed="false">
      <c r="A5" s="7" t="s">
        <v>118</v>
      </c>
      <c r="B5" s="7"/>
      <c r="C5" s="7"/>
      <c r="D5" s="7"/>
      <c r="E5" s="7"/>
      <c r="F5" s="7"/>
    </row>
    <row r="6" customFormat="false" ht="36" hidden="false" customHeight="true" outlineLevel="0" collapsed="false">
      <c r="A6" s="7" t="s">
        <v>119</v>
      </c>
      <c r="B6" s="7"/>
      <c r="C6" s="7"/>
      <c r="D6" s="7"/>
      <c r="E6" s="7"/>
      <c r="F6" s="7"/>
    </row>
    <row r="7" customFormat="false" ht="36" hidden="false" customHeight="true" outlineLevel="0" collapsed="false">
      <c r="A7" s="7" t="s">
        <v>120</v>
      </c>
      <c r="B7" s="7"/>
      <c r="C7" s="7"/>
      <c r="D7" s="7"/>
      <c r="E7" s="7"/>
      <c r="F7" s="7"/>
    </row>
    <row r="8" customFormat="false" ht="36" hidden="false" customHeight="true" outlineLevel="0" collapsed="false">
      <c r="A8" s="7" t="s">
        <v>121</v>
      </c>
      <c r="B8" s="7"/>
      <c r="C8" s="7"/>
      <c r="D8" s="7"/>
      <c r="E8" s="7"/>
      <c r="F8" s="7"/>
    </row>
    <row r="9" customFormat="false" ht="36" hidden="false" customHeight="true" outlineLevel="0" collapsed="false">
      <c r="A9" s="7" t="s">
        <v>122</v>
      </c>
      <c r="B9" s="7"/>
      <c r="C9" s="7"/>
      <c r="D9" s="7"/>
      <c r="E9" s="7"/>
      <c r="F9" s="7"/>
    </row>
    <row r="10" customFormat="false" ht="36" hidden="false" customHeight="true" outlineLevel="0" collapsed="false">
      <c r="A10" s="7" t="s">
        <v>123</v>
      </c>
      <c r="B10" s="7"/>
      <c r="C10" s="7"/>
      <c r="D10" s="7"/>
      <c r="E10" s="7"/>
      <c r="F10" s="7"/>
    </row>
    <row r="11" customFormat="false" ht="36" hidden="false" customHeight="true" outlineLevel="0" collapsed="false">
      <c r="A11" s="7" t="s">
        <v>124</v>
      </c>
      <c r="B11" s="7"/>
      <c r="C11" s="7"/>
      <c r="D11" s="7"/>
      <c r="E11" s="7"/>
      <c r="F11" s="7"/>
    </row>
    <row r="12" customFormat="false" ht="36" hidden="false" customHeight="true" outlineLevel="0" collapsed="false">
      <c r="A12" s="7" t="s">
        <v>125</v>
      </c>
      <c r="B12" s="7"/>
      <c r="C12" s="7"/>
      <c r="D12" s="7"/>
      <c r="E12" s="7"/>
      <c r="F12" s="7"/>
    </row>
    <row r="13" customFormat="false" ht="36" hidden="false" customHeight="true" outlineLevel="0" collapsed="false">
      <c r="A13" s="7" t="s">
        <v>126</v>
      </c>
      <c r="B13" s="7"/>
      <c r="C13" s="7"/>
      <c r="D13" s="7"/>
      <c r="E13" s="7"/>
      <c r="F13" s="7"/>
    </row>
    <row r="14" customFormat="false" ht="36" hidden="false" customHeight="true" outlineLevel="0" collapsed="false">
      <c r="A14" s="7" t="s">
        <v>127</v>
      </c>
      <c r="B14" s="7"/>
      <c r="C14" s="7"/>
      <c r="D14" s="7"/>
      <c r="E14" s="7"/>
      <c r="F14" s="7"/>
    </row>
    <row r="15" customFormat="false" ht="36" hidden="false" customHeight="true" outlineLevel="0" collapsed="false">
      <c r="A15" s="16" t="s">
        <v>128</v>
      </c>
      <c r="B15" s="16"/>
      <c r="C15" s="16"/>
      <c r="D15" s="16"/>
      <c r="E15" s="16"/>
      <c r="F15" s="16"/>
    </row>
  </sheetData>
  <mergeCells count="14"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2026-10-12T15:16:07Z</dcterms:created>
  <dc:creator>openpyxl</dc:creator>
  <dc:description/>
  <dc:language>en-US</dc:language>
  <cp:lastModifiedBy/>
  <dcterms:modified xsi:type="dcterms:W3CDTF">2026-10-12T15:18:08Z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