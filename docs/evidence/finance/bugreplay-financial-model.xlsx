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cce4ad55d04d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ecast" sheetId="1" r:id="Rff5c97ad0dc94469"/>
    <x:sheet xmlns:r="http://schemas.openxmlformats.org/officeDocument/2006/relationships" name="Assumptions" sheetId="2" r:id="R06d8e6290c6945bc"/>
    <x:sheet xmlns:r="http://schemas.openxmlformats.org/officeDocument/2006/relationships" name="Unit economics" sheetId="3" r:id="Ra24a66eb72774606"/>
    <x:sheet xmlns:r="http://schemas.openxmlformats.org/officeDocument/2006/relationships" name="Measured usage" sheetId="4" r:id="R67e7cf4ab35342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.0;(#,##0.0);&quot;-&quot;"/>
    <x:numFmt numFmtId="201" formatCode="$#,##0;($#,##0);&quot;-&quot;"/>
    <x:numFmt numFmtId="202" formatCode="0.0%;(0.0%);&quot;-&quot;"/>
    <x:numFmt numFmtId="203" formatCode="mmm-yy"/>
    <x:numFmt numFmtId="204" formatCode="0"/>
    <x:numFmt numFmtId="205" formatCode="$0.0000"/>
    <x:numFmt numFmtId="206" formatCode="$0.00"/>
    <x:numFmt numFmtId="207" formatCode="0.0"/>
    <x:numFmt numFmtId="208" formatCode=";;;"/>
    <x:numFmt numFmtId="209" formatCode="$0"/>
  </x:numFmts>
  <x:fonts count="13">
    <x:font>
      <x:sz val="11"/>
      <x:name val="Carlito"/>
    </x:font>
    <x:font>
      <x:sz val="10"/>
      <x:color rgb="FF172B4D"/>
      <x:name val="Arial"/>
    </x:font>
    <x:font>
      <x:b/>
      <x:sz val="16"/>
      <x:color rgb="FF172B4D"/>
      <x:name val="Arial"/>
    </x:font>
    <x:font>
      <x:sz val="10"/>
      <x:color rgb="FF167447"/>
      <x:name val="Arial"/>
    </x:font>
    <x:font>
      <x:sz val="10"/>
      <x:color rgb="FF174ABD"/>
      <x:name val="Arial"/>
    </x:font>
    <x:font>
      <x:b/>
      <x:sz val="10"/>
      <x:color rgb="FFFFFFFF"/>
      <x:name val="Arial"/>
    </x:font>
    <x:font>
      <x:sz val="10"/>
      <x:color rgb="FF111111"/>
      <x:name val="Arial"/>
    </x:font>
    <x:font>
      <x:b/>
      <x:sz val="10"/>
      <x:color rgb="FF172B4D"/>
      <x:name val="Arial"/>
    </x:font>
    <x:font>
      <x:b/>
      <x:sz val="10"/>
      <x:color rgb="FF111111"/>
      <x:name val="Arial"/>
    </x:font>
    <x:font>
      <x:b/>
      <x:sz val="10"/>
      <x:color rgb="FF167447"/>
      <x:name val="Arial"/>
    </x:font>
    <x:font>
      <x:i/>
      <x:sz val="10"/>
      <x:color rgb="FF172B4D"/>
      <x:name val="Arial"/>
    </x:font>
    <x:font>
      <x:i/>
      <x:sz val="10"/>
      <x:color rgb="FF111111"/>
      <x:name val="Arial"/>
    </x:font>
    <x:font>
      <x:i/>
      <x:sz val="10"/>
      <x:color rgb="FF16744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4D6"/>
      </x:patternFill>
    </x:fill>
    <x:fill>
      <x:patternFill patternType="solid">
        <x:fgColor rgb="FF25466A"/>
      </x:patternFill>
    </x:fill>
    <x:fill>
      <x:patternFill patternType="solid">
        <x:fgColor rgb="FFEDF2F8"/>
      </x:patternFill>
    </x:fill>
  </x:fills>
  <x:borders count="3">
    <x:border/>
    <x:border>
      <x:bottom style="thin">
        <x:color rgb="FF25466A"/>
      </x:bottom>
    </x:border>
    <x:border>
      <x:left style="dotted">
        <x:color rgb="FF25466A"/>
      </x:left>
      <x:right style="dotted">
        <x:color rgb="FF25466A"/>
      </x:right>
      <x:top style="dotted">
        <x:color rgb="FF25466A"/>
      </x:top>
      <x:bottom style="dotted">
        <x:color rgb="FF25466A"/>
      </x:bottom>
    </x:border>
  </x:borders>
  <x:cellStyleXfs count="1">
    <x:xf numFmtId="0" fontId="0" fillId="0" borderId="0"/>
  </x:cellStyleXfs>
  <x:cellXfs count="7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201" fontId="4" fillId="2" borderId="0" xfId="0" applyNumberFormat="1" applyFont="1" applyFill="1" applyBorder="1" applyAlignment="1">
      <x:alignment vertical="center"/>
    </x:xf>
    <x:xf numFmtId="202" fontId="4" fillId="2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3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203" fontId="5" fillId="3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200" fontId="8" fillId="4" borderId="0" xfId="0" applyNumberFormat="1" applyFont="1" applyFill="1" applyBorder="1" applyAlignment="1">
      <x:alignment vertical="center"/>
    </x:xf>
    <x:xf numFmtId="202" fontId="8" fillId="4" borderId="0" xfId="0" applyNumberFormat="1" applyFont="1" applyFill="1" applyBorder="1" applyAlignment="1">
      <x:alignment vertical="center"/>
    </x:xf>
    <x:xf numFmtId="201" fontId="8" fillId="4" borderId="0" xfId="0" applyNumberFormat="1" applyFont="1" applyFill="1" applyBorder="1" applyAlignment="1">
      <x:alignment vertical="center"/>
    </x:xf>
    <x:xf numFmtId="204" fontId="8" fillId="4" borderId="0" xfId="0" applyNumberFormat="1" applyFont="1" applyFill="1" applyBorder="1" applyAlignment="1">
      <x:alignment vertical="center"/>
    </x:xf>
    <x:xf numFmtId="204" fontId="4" fillId="2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205" fontId="9" fillId="4" borderId="0" xfId="0" applyNumberFormat="1" applyFont="1" applyFill="1" applyBorder="1" applyAlignment="1">
      <x:alignment vertical="center"/>
    </x:xf>
    <x:xf numFmtId="205" fontId="4" fillId="2" borderId="0" xfId="0" applyNumberFormat="1" applyFont="1" applyFill="1" applyBorder="1" applyAlignment="1">
      <x:alignment vertical="center"/>
    </x:xf>
    <x:xf numFmtId="205" fontId="8" fillId="4" borderId="0" xfId="0" applyNumberFormat="1" applyFont="1" applyFill="1" applyBorder="1" applyAlignment="1">
      <x:alignment vertical="center"/>
    </x:xf>
    <x:xf numFmtId="206" fontId="8" fillId="4" borderId="0" xfId="0" applyNumberFormat="1" applyFont="1" applyFill="1" applyBorder="1" applyAlignment="1">
      <x:alignment vertical="center"/>
    </x:xf>
    <x:xf numFmtId="206" fontId="4" fillId="2" borderId="0" xfId="0" applyNumberFormat="1" applyFont="1" applyFill="1" applyBorder="1" applyAlignment="1">
      <x:alignment vertical="center"/>
    </x:xf>
    <x:xf numFmtId="205" fontId="6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6" fillId="4" borderId="0" xfId="0" applyNumberFormat="1" applyFont="1" applyFill="1" applyBorder="1" applyAlignment="1">
      <x:alignment vertical="center"/>
    </x:xf>
    <x:xf numFmtId="201" fontId="3" fillId="4" borderId="0" xfId="0" applyNumberFormat="1" applyFont="1" applyFill="1" applyBorder="1" applyAlignment="1">
      <x:alignment vertical="center"/>
    </x:xf>
    <x:xf numFmtId="201" fontId="9" fillId="4" borderId="0" xfId="0" applyNumberFormat="1" applyFont="1" applyFill="1" applyBorder="1" applyAlignment="1">
      <x:alignment vertical="center"/>
    </x:xf>
    <x:xf numFmtId="201" fontId="6" fillId="4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202" fontId="1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7" fillId="3" borderId="0" xfId="0" applyNumberFormat="1" applyFont="1" applyFill="1" applyBorder="1" applyAlignment="1">
      <x:alignment horizontal="center" vertical="center"/>
    </x:xf>
    <x:xf numFmtId="200" fontId="7" fillId="4" borderId="0" xfId="0" applyNumberFormat="1" applyFont="1" applyFill="1" applyBorder="1" applyAlignment="1">
      <x:alignment vertical="center"/>
    </x:xf>
    <x:xf numFmtId="201" fontId="7" fillId="4" borderId="0" xfId="0" applyNumberFormat="1" applyFont="1" applyFill="1" applyBorder="1" applyAlignment="1">
      <x:alignment vertical="center"/>
    </x:xf>
    <x:xf numFmtId="202" fontId="10" fillId="0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7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/>
    </x:xf>
    <x:xf numFmtId="206" fontId="6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2" fontId="12" fillId="0" borderId="0" xfId="0" applyNumberFormat="1" applyFont="1" applyFill="1" applyBorder="1" applyAlignment="1">
      <x:alignment vertical="center"/>
    </x:xf>
    <x:xf numFmtId="208" fontId="6" fillId="0" borderId="0" xfId="0" applyNumberFormat="1" applyFont="1" applyFill="1" applyBorder="1" applyAlignment="1">
      <x:alignment vertical="center"/>
    </x:xf>
    <x:xf numFmtId="209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8" fontId="6" fillId="4" borderId="0" xfId="0" applyNumberFormat="1" applyFont="1" applyFill="1" applyBorder="1" applyAlignment="1">
      <x:alignment vertical="center"/>
    </x:xf>
    <x:xf numFmtId="209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B42318"/>
      </x:font>
      <x:fill>
        <x:patternFill patternType="solid">
          <x:bgColor rgb="FFFCE4E4"/>
        </x:patternFill>
      </x:fill>
    </x:dxf>
    <x:dxf>
      <x:font>
        <x:b/>
        <x:color rgb="FFB42318"/>
      </x:font>
      <x:fill>
        <x:patternFill patternType="solid">
          <x:bgColor rgb="FFFCE4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eb0024d5e043e0" /><Relationship Type="http://schemas.openxmlformats.org/officeDocument/2006/relationships/theme" Target="/xl/theme/theme1.xml" Id="Re82a4c11d7034e64" /><Relationship Type="http://schemas.openxmlformats.org/officeDocument/2006/relationships/sharedStrings" Target="/xl/sharedStrings.xml" Id="R7e60b7c5916446e2" /><Relationship Type="http://schemas.openxmlformats.org/officeDocument/2006/relationships/worksheet" Target="/xl/worksheets/sheet1.xml" Id="Rff5c97ad0dc94469" /><Relationship Type="http://schemas.openxmlformats.org/officeDocument/2006/relationships/worksheet" Target="/xl/worksheets/sheet2.xml" Id="R06d8e6290c6945bc" /><Relationship Type="http://schemas.openxmlformats.org/officeDocument/2006/relationships/worksheet" Target="/xl/worksheets/sheet3.xml" Id="Ra24a66eb72774606" /><Relationship Type="http://schemas.openxmlformats.org/officeDocument/2006/relationships/worksheet" Target="/xl/worksheets/sheet4.xml" Id="R67e7cf4ab35342e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801350fad6f43c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Closing cash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Closing cash</c:v>
          </c:tx>
          <c:spPr>
            <a:ln xmlns:a="http://schemas.openxmlformats.org/drawingml/2006/main" w="19050">
              <a:solidFill>
                <a:srgbClr val="25466A"/>
              </a:solidFill>
              <a:prstDash val="solid"/>
            </a:ln>
          </c:spPr>
          <c:marker>
            <c:symbol val="none"/>
          </c:marker>
          <c:cat>
            <c:strRef>
              <c:f>'Forecast'!$H$6:$H$17</c:f>
              <c:strCache>
                <c:ptCount val="0"/>
              </c:strCache>
            </c:strRef>
          </c:cat>
          <c:val>
            <c:numRef>
              <c:f>'Forecast'!$I$6:$I$17</c:f>
              <c:numCache>
                <c:formatCode>$#,##0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4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801350fad6f43c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00e8893c4da4a39" /></Relationships>
</file>

<file path=xl/worksheets/sheet1.xml><?xml version="1.0" encoding="utf-8"?>
<x:worksheet xmlns:x="http://schemas.openxmlformats.org/spreadsheetml/2006/main">
  <x:sheetPr>
    <x:tabColor rgb="FF172B4D"/>
  </x:sheetPr>
  <x:sheetViews>
    <x:sheetView showGridLines="0" workbookViewId="0">
      <x:pane xSplit="4" ySplit="22" topLeftCell="E23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4" hidden="0" customWidth="1"/>
    <x:col min="4" max="4" width="12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3" hidden="0" customWidth="1"/>
    <x:col min="18" max="18" width="65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1" customHeight="1">
      <x:c r="A2" s="2"/>
      <x:c r="B2" s="2"/>
      <x:c r="C2" s="3" t="str">
        <x:v>BugReplay operating forecast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1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2"/>
      <x:c r="R3" s="2"/>
    </x:row>
    <x:row r="4" ht="21" customHeight="1">
      <x:c r="A4" s="2"/>
      <x:c r="B4" s="2"/>
      <x:c r="C4" s="2" t="str">
        <x:v>Case selected</x:v>
      </x:c>
      <x:c r="D4" s="2"/>
      <x:c r="E4" s="7" t="str">
        <x:f>Assumptions!E4</x:f>
        <x:v>Base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1" customHeight="1">
      <x:c r="A5" s="2"/>
      <x:c r="B5" s="2"/>
      <x:c r="C5" s="2" t="str">
        <x:v>Planning status</x:v>
      </x:c>
      <x:c r="D5" s="2"/>
      <x:c r="E5" s="2" t="str">
        <x:v>Assumptions, not actuals</x:v>
      </x:c>
      <x:c r="F5" s="2"/>
      <x:c r="G5" s="2"/>
      <x:c r="H5" s="2" t="str">
        <x:v>Month</x:v>
      </x:c>
      <x:c r="I5" s="2" t="str">
        <x:v>Closing cash</x:v>
      </x:c>
      <x:c r="J5" s="2"/>
      <x:c r="K5" s="2"/>
      <x:c r="L5" s="2"/>
      <x:c r="M5" s="2"/>
      <x:c r="N5" s="2"/>
      <x:c r="O5" s="2"/>
      <x:c r="P5" s="2"/>
      <x:c r="Q5" s="2"/>
      <x:c r="R5" s="2"/>
    </x:row>
    <x:row r="6" ht="21" customHeight="1">
      <x:c r="A6" s="2"/>
      <x:c r="B6" s="2"/>
      <x:c r="C6" s="2" t="str">
        <x:v>12-month revenue</x:v>
      </x:c>
      <x:c r="D6" s="2"/>
      <x:c r="E6" s="47" t="n">
        <x:f>IF(COUNT(E32:P32)=12,SUM(E32:P32),"n.a.")</x:f>
        <x:v>42966.41728625998</x:v>
      </x:c>
      <x:c r="F6" s="2"/>
      <x:c r="G6" s="2"/>
      <x:c r="H6" s="2" t="str">
        <x:v>Nov 26</x:v>
      </x:c>
      <x:c r="I6" s="47" t="n">
        <x:f>E48</x:f>
        <x:v>8812.15</x:v>
      </x:c>
      <x:c r="J6" s="2"/>
      <x:c r="K6" s="2"/>
      <x:c r="L6" s="2"/>
      <x:c r="M6" s="2"/>
      <x:c r="N6" s="2"/>
      <x:c r="O6" s="2"/>
      <x:c r="P6" s="2"/>
      <x:c r="Q6" s="2"/>
      <x:c r="R6" s="2"/>
    </x:row>
    <x:row r="7" ht="21" customHeight="1">
      <x:c r="A7" s="2"/>
      <x:c r="B7" s="2"/>
      <x:c r="C7" s="2" t="str">
        <x:v>12-month gross profit</x:v>
      </x:c>
      <x:c r="D7" s="2"/>
      <x:c r="E7" s="47" t="n">
        <x:f>IF(COUNT(E39:P39)=12,SUM(E39:P39),"n.a.")</x:f>
        <x:v>36605.40990726553</x:v>
      </x:c>
      <x:c r="F7" s="2"/>
      <x:c r="G7" s="2"/>
      <x:c r="H7" s="2" t="str">
        <x:v>Dec 26</x:v>
      </x:c>
      <x:c r="I7" s="47" t="n">
        <x:f>F48</x:f>
        <x:v>7872.5154999999995</x:v>
      </x:c>
      <x:c r="J7" s="2"/>
      <x:c r="K7" s="2"/>
      <x:c r="L7" s="2"/>
      <x:c r="M7" s="2"/>
      <x:c r="N7" s="2"/>
      <x:c r="O7" s="2"/>
      <x:c r="P7" s="2"/>
      <x:c r="Q7" s="2"/>
      <x:c r="R7" s="2"/>
    </x:row>
    <x:row r="8" ht="21" customHeight="1">
      <x:c r="A8" s="2"/>
      <x:c r="B8" s="2"/>
      <x:c r="C8" s="2" t="str">
        <x:v>12-month gross margin</x:v>
      </x:c>
      <x:c r="D8" s="2"/>
      <x:c r="E8" s="54" t="n">
        <x:f>IF(AND(ISNUMBER(E6),ISNUMBER(E7),E6&gt;0),E7/E6,"n.a.")</x:f>
        <x:v>0.8519539728757276</x:v>
      </x:c>
      <x:c r="F8" s="2"/>
      <x:c r="G8" s="2"/>
      <x:c r="H8" s="2" t="str">
        <x:v>Jan 27</x:v>
      </x:c>
      <x:c r="I8" s="47" t="n">
        <x:f>G48</x:f>
        <x:v>7258.510034999999</x:v>
      </x:c>
      <x:c r="J8" s="2"/>
      <x:c r="K8" s="2"/>
      <x:c r="L8" s="2"/>
      <x:c r="M8" s="2"/>
      <x:c r="N8" s="2"/>
      <x:c r="O8" s="2"/>
      <x:c r="P8" s="2"/>
      <x:c r="Q8" s="2"/>
      <x:c r="R8" s="2"/>
    </x:row>
    <x:row r="9" ht="21" customHeight="1">
      <x:c r="A9" s="2"/>
      <x:c r="B9" s="2"/>
      <x:c r="C9" s="2" t="str">
        <x:v>Ending cash</x:v>
      </x:c>
      <x:c r="D9" s="2"/>
      <x:c r="E9" s="47" t="n">
        <x:f>P48</x:f>
        <x:v>30405.40990726553</x:v>
      </x:c>
      <x:c r="F9" s="2"/>
      <x:c r="G9" s="2"/>
      <x:c r="H9" s="2" t="str">
        <x:v>Feb 27</x:v>
      </x:c>
      <x:c r="I9" s="47" t="n">
        <x:f>H48</x:f>
        <x:v>7045.224733949999</x:v>
      </x:c>
      <x:c r="J9" s="2"/>
      <x:c r="K9" s="2"/>
      <x:c r="L9" s="2"/>
      <x:c r="M9" s="2"/>
      <x:c r="N9" s="2"/>
      <x:c r="O9" s="2"/>
      <x:c r="P9" s="2"/>
      <x:c r="Q9" s="2"/>
      <x:c r="R9" s="2"/>
    </x:row>
    <x:row r="10" ht="21" customHeight="1">
      <x:c r="A10" s="2"/>
      <x:c r="B10" s="2"/>
      <x:c r="C10" s="2" t="str">
        <x:v>First month with negative closing cash</x:v>
      </x:c>
      <x:c r="D10" s="2"/>
      <x:c r="E10" s="2" t="str">
        <x:f>IF(COUNT(E48:P48)&lt;&gt;12,"n.a.",IF(SUM(E50:P50)=0,"n.a.",MATCH(1,E50:P50,0)))</x:f>
        <x:v>n.a.</x:v>
      </x:c>
      <x:c r="F10" s="2"/>
      <x:c r="G10" s="2"/>
      <x:c r="H10" s="2" t="str">
        <x:v>Mar 27</x:v>
      </x:c>
      <x:c r="I10" s="47" t="n">
        <x:f>I48</x:f>
        <x:v>7305.497991931499</x:v>
      </x:c>
      <x:c r="J10" s="2"/>
      <x:c r="K10" s="2"/>
      <x:c r="L10" s="2"/>
      <x:c r="M10" s="2"/>
      <x:c r="N10" s="2"/>
      <x:c r="O10" s="2"/>
      <x:c r="P10" s="2"/>
      <x:c r="Q10" s="2"/>
      <x:c r="R10" s="2"/>
    </x:row>
    <x:row r="11" ht="21" customHeight="1">
      <x:c r="A11" s="2"/>
      <x:c r="B11" s="2"/>
      <x:c r="C11" s="2" t="str">
        <x:v>Runway horizon</x:v>
      </x:c>
      <x:c r="D11" s="2"/>
      <x:c r="E11" s="2" t="str">
        <x:f>IF(COUNT(E48:P48)&lt;&gt;12,"Missing inputs",IF(SUM(E50:P50)=0,"&gt;=12 months","See first deficit month"))</x:f>
        <x:v>&gt;=12 months</x:v>
      </x:c>
      <x:c r="F11" s="2"/>
      <x:c r="G11" s="2"/>
      <x:c r="H11" s="2" t="str">
        <x:v>Apr 27</x:v>
      </x:c>
      <x:c r="I11" s="47" t="n">
        <x:f>J48</x:f>
        <x:v>8152.413052173554</x:v>
      </x:c>
      <x:c r="J11" s="2"/>
      <x:c r="K11" s="2"/>
      <x:c r="L11" s="2"/>
      <x:c r="M11" s="2"/>
      <x:c r="N11" s="2"/>
      <x:c r="O11" s="2"/>
      <x:c r="P11" s="2"/>
      <x:c r="Q11" s="2"/>
      <x:c r="R11" s="2"/>
    </x:row>
    <x:row r="12" ht="21" customHeight="1">
      <x:c r="A12" s="2"/>
      <x:c r="B12" s="2"/>
      <x:c r="C12" s="2"/>
      <x:c r="D12" s="2"/>
      <x:c r="E12" s="2"/>
      <x:c r="F12" s="2"/>
      <x:c r="G12" s="2"/>
      <x:c r="H12" s="2" t="str">
        <x:v>May 27</x:v>
      </x:c>
      <x:c r="I12" s="47" t="n">
        <x:f>K48</x:f>
        <x:v>9695.660660608348</x:v>
      </x:c>
      <x:c r="J12" s="2"/>
      <x:c r="K12" s="2"/>
      <x:c r="L12" s="2"/>
      <x:c r="M12" s="2"/>
      <x:c r="N12" s="2"/>
      <x:c r="O12" s="2"/>
      <x:c r="P12" s="2"/>
      <x:c r="Q12" s="2"/>
      <x:c r="R12" s="2"/>
    </x:row>
    <x:row r="13" ht="21" customHeight="1">
      <x:c r="A13" s="2"/>
      <x:c r="B13" s="2"/>
      <x:c r="C13" s="2" t="str">
        <x:v>Use the case selector on Assumptions. Measured mode requires complete cost/source entries.</x:v>
      </x:c>
      <x:c r="D13" s="2"/>
      <x:c r="E13" s="2"/>
      <x:c r="F13" s="2"/>
      <x:c r="G13" s="2"/>
      <x:c r="H13" s="2" t="str">
        <x:v>Jun 27</x:v>
      </x:c>
      <x:c r="I13" s="47" t="n">
        <x:f>L48</x:f>
        <x:v>11999.210840790098</x:v>
      </x:c>
      <x:c r="J13" s="2"/>
      <x:c r="K13" s="2"/>
      <x:c r="L13" s="2"/>
      <x:c r="M13" s="2"/>
      <x:c r="N13" s="2"/>
      <x:c r="O13" s="2"/>
      <x:c r="P13" s="2"/>
      <x:c r="Q13" s="2"/>
      <x:c r="R13" s="2"/>
    </x:row>
    <x:row r="14" ht="21" customHeight="1">
      <x:c r="A14" s="2"/>
      <x:c r="B14" s="2"/>
      <x:c r="C14" s="2" t="str">
        <x:v>Negative cash is an unfunded requirement, not permitted borrowing. Cash is tested at each month-end.</x:v>
      </x:c>
      <x:c r="D14" s="2"/>
      <x:c r="E14" s="2"/>
      <x:c r="F14" s="2"/>
      <x:c r="G14" s="2"/>
      <x:c r="H14" s="2" t="str">
        <x:v>Jul 27</x:v>
      </x:c>
      <x:c r="I14" s="47" t="n">
        <x:f>M48</x:f>
        <x:v>15125.114515566394</x:v>
      </x:c>
      <x:c r="J14" s="2"/>
      <x:c r="K14" s="2"/>
      <x:c r="L14" s="2"/>
      <x:c r="M14" s="2"/>
      <x:c r="N14" s="2"/>
      <x:c r="O14" s="2"/>
      <x:c r="P14" s="2"/>
      <x:c r="Q14" s="2"/>
      <x:c r="R14" s="2"/>
    </x:row>
    <x:row r="15" ht="21" customHeight="1">
      <x:c r="A15" s="2"/>
      <x:c r="B15" s="2"/>
      <x:c r="C15" s="2"/>
      <x:c r="D15" s="2"/>
      <x:c r="E15" s="2"/>
      <x:c r="F15" s="2"/>
      <x:c r="G15" s="2"/>
      <x:c r="H15" s="2" t="str">
        <x:v>Aug 27</x:v>
      </x:c>
      <x:c r="I15" s="47" t="n">
        <x:f>N48</x:f>
        <x:v>19175.991080099404</x:v>
      </x:c>
      <x:c r="J15" s="2"/>
      <x:c r="K15" s="2"/>
      <x:c r="L15" s="2"/>
      <x:c r="M15" s="2"/>
      <x:c r="N15" s="2"/>
      <x:c r="O15" s="2"/>
      <x:c r="P15" s="2"/>
      <x:c r="Q15" s="2"/>
      <x:c r="R15" s="2"/>
    </x:row>
    <x:row r="16" ht="21" customHeight="1">
      <x:c r="A16" s="2"/>
      <x:c r="B16" s="2"/>
      <x:c r="C16" s="2"/>
      <x:c r="D16" s="2"/>
      <x:c r="E16" s="2"/>
      <x:c r="F16" s="2"/>
      <x:c r="G16" s="2"/>
      <x:c r="H16" s="2" t="str">
        <x:v>Sep 27</x:v>
      </x:c>
      <x:c r="I16" s="47" t="n">
        <x:f>O48</x:f>
        <x:v>24251.38134769642</x:v>
      </x:c>
      <x:c r="J16" s="2"/>
      <x:c r="K16" s="2"/>
      <x:c r="L16" s="2"/>
      <x:c r="M16" s="2"/>
      <x:c r="N16" s="2"/>
      <x:c r="O16" s="2"/>
      <x:c r="P16" s="2"/>
      <x:c r="Q16" s="2"/>
      <x:c r="R16" s="2"/>
    </x:row>
    <x:row r="17" ht="21" customHeight="1">
      <x:c r="A17" s="2"/>
      <x:c r="B17" s="2"/>
      <x:c r="C17" s="2"/>
      <x:c r="D17" s="2"/>
      <x:c r="E17" s="2"/>
      <x:c r="F17" s="2"/>
      <x:c r="G17" s="2"/>
      <x:c r="H17" s="2" t="str">
        <x:v>Oct 27</x:v>
      </x:c>
      <x:c r="I17" s="47" t="n">
        <x:f>P48</x:f>
        <x:v>30405.40990726553</x:v>
      </x:c>
      <x:c r="J17" s="2"/>
      <x:c r="K17" s="2"/>
      <x:c r="L17" s="2"/>
      <x:c r="M17" s="2"/>
      <x:c r="N17" s="2"/>
      <x:c r="O17" s="2"/>
      <x:c r="P17" s="2"/>
      <x:c r="Q17" s="2"/>
      <x:c r="R17" s="2"/>
    </x:row>
    <x:row r="18" ht="21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</x:row>
    <x:row r="19" ht="21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</x:row>
    <x:row r="20" ht="21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</x:row>
    <x:row r="21" ht="21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</x:row>
    <x:row r="22" ht="21" customHeight="1">
      <x:c r="A22" s="2"/>
      <x:c r="B22" s="2"/>
      <x:c r="C22" s="20" t="str">
        <x:v>Monthly forecast (USD)</x:v>
      </x:c>
      <x:c r="D22" s="20"/>
      <x:c r="E22" s="21" t="n">
        <x:v>46327</x:v>
      </x:c>
      <x:c r="F22" s="21" t="n">
        <x:v>46357</x:v>
      </x:c>
      <x:c r="G22" s="21" t="n">
        <x:v>46388</x:v>
      </x:c>
      <x:c r="H22" s="21" t="n">
        <x:v>46419</x:v>
      </x:c>
      <x:c r="I22" s="21" t="n">
        <x:v>46447</x:v>
      </x:c>
      <x:c r="J22" s="21" t="n">
        <x:v>46478</x:v>
      </x:c>
      <x:c r="K22" s="21" t="n">
        <x:v>46508</x:v>
      </x:c>
      <x:c r="L22" s="21" t="n">
        <x:v>46539</x:v>
      </x:c>
      <x:c r="M22" s="21" t="n">
        <x:v>46569</x:v>
      </x:c>
      <x:c r="N22" s="21" t="n">
        <x:v>46600</x:v>
      </x:c>
      <x:c r="O22" s="21" t="n">
        <x:v>46631</x:v>
      </x:c>
      <x:c r="P22" s="21" t="n">
        <x:v>46661</x:v>
      </x:c>
      <x:c r="Q22" s="2"/>
      <x:c r="R22" s="2"/>
    </x:row>
    <x:row r="23" ht="21" customHeight="1">
      <x:c r="A23" s="2"/>
      <x:c r="B23" s="2"/>
      <x:c r="C23" s="2" t="str">
        <x:v>Active input status</x:v>
      </x:c>
      <x:c r="D23" s="2"/>
      <x:c r="E23" s="2" t="str">
        <x:f>IF(AND(COUNT(Assumptions!E16,Assumptions!E20,Assumptions!E24,Assumptions!E28,Assumptions!E32,Assumptions!E36,Assumptions!E40,Assumptions!E44,Assumptions!E48,Assumptions!E52,Assumptions!E56,Assumptions!E60,Assumptions!E64,Assumptions!E68)=14,ISNUMBER(Assumptions!$E$5),ISNUMBER(Assumptions!$E$6),Assumptions!$E$5&gt;=0,Assumptions!$E$6&gt;=0,MIN(Assumptions!E16,Assumptions!E20,Assumptions!E24,Assumptions!E28,Assumptions!E32,Assumptions!E36,Assumptions!E40,Assumptions!E44,Assumptions!E48,Assumptions!E52,Assumptions!E56,Assumptions!E60,Assumptions!E64,Assumptions!E68)&gt;=0,Assumptions!E20&lt;=1,Assumptions!E32&lt;=1,Assumptions!E48&lt;1),"OK","Missing/invalid input")</x:f>
        <x:v>OK</x:v>
      </x:c>
      <x:c r="F23" s="2" t="str">
        <x:f>IF(AND(COUNT(Assumptions!F16,Assumptions!F20,Assumptions!F24,Assumptions!F28,Assumptions!F32,Assumptions!F36,Assumptions!F40,Assumptions!F44,Assumptions!F48,Assumptions!F52,Assumptions!F56,Assumptions!F60,Assumptions!F64,Assumptions!F68)=14,ISNUMBER(Assumptions!$E$5),ISNUMBER(Assumptions!$E$6),Assumptions!$E$5&gt;=0,Assumptions!$E$6&gt;=0,MIN(Assumptions!F16,Assumptions!F20,Assumptions!F24,Assumptions!F28,Assumptions!F32,Assumptions!F36,Assumptions!F40,Assumptions!F44,Assumptions!F48,Assumptions!F52,Assumptions!F56,Assumptions!F60,Assumptions!F64,Assumptions!F68)&gt;=0,Assumptions!F20&lt;=1,Assumptions!F32&lt;=1,Assumptions!F48&lt;1),"OK","Missing/invalid input")</x:f>
        <x:v>OK</x:v>
      </x:c>
      <x:c r="G23" s="2" t="str">
        <x:f>IF(AND(COUNT(Assumptions!G16,Assumptions!G20,Assumptions!G24,Assumptions!G28,Assumptions!G32,Assumptions!G36,Assumptions!G40,Assumptions!G44,Assumptions!G48,Assumptions!G52,Assumptions!G56,Assumptions!G60,Assumptions!G64,Assumptions!G68)=14,ISNUMBER(Assumptions!$E$5),ISNUMBER(Assumptions!$E$6),Assumptions!$E$5&gt;=0,Assumptions!$E$6&gt;=0,MIN(Assumptions!G16,Assumptions!G20,Assumptions!G24,Assumptions!G28,Assumptions!G32,Assumptions!G36,Assumptions!G40,Assumptions!G44,Assumptions!G48,Assumptions!G52,Assumptions!G56,Assumptions!G60,Assumptions!G64,Assumptions!G68)&gt;=0,Assumptions!G20&lt;=1,Assumptions!G32&lt;=1,Assumptions!G48&lt;1),"OK","Missing/invalid input")</x:f>
        <x:v>OK</x:v>
      </x:c>
      <x:c r="H23" s="2" t="str">
        <x:f>IF(AND(COUNT(Assumptions!H16,Assumptions!H20,Assumptions!H24,Assumptions!H28,Assumptions!H32,Assumptions!H36,Assumptions!H40,Assumptions!H44,Assumptions!H48,Assumptions!H52,Assumptions!H56,Assumptions!H60,Assumptions!H64,Assumptions!H68)=14,ISNUMBER(Assumptions!$E$5),ISNUMBER(Assumptions!$E$6),Assumptions!$E$5&gt;=0,Assumptions!$E$6&gt;=0,MIN(Assumptions!H16,Assumptions!H20,Assumptions!H24,Assumptions!H28,Assumptions!H32,Assumptions!H36,Assumptions!H40,Assumptions!H44,Assumptions!H48,Assumptions!H52,Assumptions!H56,Assumptions!H60,Assumptions!H64,Assumptions!H68)&gt;=0,Assumptions!H20&lt;=1,Assumptions!H32&lt;=1,Assumptions!H48&lt;1),"OK","Missing/invalid input")</x:f>
        <x:v>OK</x:v>
      </x:c>
      <x:c r="I23" s="2" t="str">
        <x:f>IF(AND(COUNT(Assumptions!I16,Assumptions!I20,Assumptions!I24,Assumptions!I28,Assumptions!I32,Assumptions!I36,Assumptions!I40,Assumptions!I44,Assumptions!I48,Assumptions!I52,Assumptions!I56,Assumptions!I60,Assumptions!I64,Assumptions!I68)=14,ISNUMBER(Assumptions!$E$5),ISNUMBER(Assumptions!$E$6),Assumptions!$E$5&gt;=0,Assumptions!$E$6&gt;=0,MIN(Assumptions!I16,Assumptions!I20,Assumptions!I24,Assumptions!I28,Assumptions!I32,Assumptions!I36,Assumptions!I40,Assumptions!I44,Assumptions!I48,Assumptions!I52,Assumptions!I56,Assumptions!I60,Assumptions!I64,Assumptions!I68)&gt;=0,Assumptions!I20&lt;=1,Assumptions!I32&lt;=1,Assumptions!I48&lt;1),"OK","Missing/invalid input")</x:f>
        <x:v>OK</x:v>
      </x:c>
      <x:c r="J23" s="2" t="str">
        <x:f>IF(AND(COUNT(Assumptions!J16,Assumptions!J20,Assumptions!J24,Assumptions!J28,Assumptions!J32,Assumptions!J36,Assumptions!J40,Assumptions!J44,Assumptions!J48,Assumptions!J52,Assumptions!J56,Assumptions!J60,Assumptions!J64,Assumptions!J68)=14,ISNUMBER(Assumptions!$E$5),ISNUMBER(Assumptions!$E$6),Assumptions!$E$5&gt;=0,Assumptions!$E$6&gt;=0,MIN(Assumptions!J16,Assumptions!J20,Assumptions!J24,Assumptions!J28,Assumptions!J32,Assumptions!J36,Assumptions!J40,Assumptions!J44,Assumptions!J48,Assumptions!J52,Assumptions!J56,Assumptions!J60,Assumptions!J64,Assumptions!J68)&gt;=0,Assumptions!J20&lt;=1,Assumptions!J32&lt;=1,Assumptions!J48&lt;1),"OK","Missing/invalid input")</x:f>
        <x:v>OK</x:v>
      </x:c>
      <x:c r="K23" s="2" t="str">
        <x:f>IF(AND(COUNT(Assumptions!K16,Assumptions!K20,Assumptions!K24,Assumptions!K28,Assumptions!K32,Assumptions!K36,Assumptions!K40,Assumptions!K44,Assumptions!K48,Assumptions!K52,Assumptions!K56,Assumptions!K60,Assumptions!K64,Assumptions!K68)=14,ISNUMBER(Assumptions!$E$5),ISNUMBER(Assumptions!$E$6),Assumptions!$E$5&gt;=0,Assumptions!$E$6&gt;=0,MIN(Assumptions!K16,Assumptions!K20,Assumptions!K24,Assumptions!K28,Assumptions!K32,Assumptions!K36,Assumptions!K40,Assumptions!K44,Assumptions!K48,Assumptions!K52,Assumptions!K56,Assumptions!K60,Assumptions!K64,Assumptions!K68)&gt;=0,Assumptions!K20&lt;=1,Assumptions!K32&lt;=1,Assumptions!K48&lt;1),"OK","Missing/invalid input")</x:f>
        <x:v>OK</x:v>
      </x:c>
      <x:c r="L23" s="2" t="str">
        <x:f>IF(AND(COUNT(Assumptions!L16,Assumptions!L20,Assumptions!L24,Assumptions!L28,Assumptions!L32,Assumptions!L36,Assumptions!L40,Assumptions!L44,Assumptions!L48,Assumptions!L52,Assumptions!L56,Assumptions!L60,Assumptions!L64,Assumptions!L68)=14,ISNUMBER(Assumptions!$E$5),ISNUMBER(Assumptions!$E$6),Assumptions!$E$5&gt;=0,Assumptions!$E$6&gt;=0,MIN(Assumptions!L16,Assumptions!L20,Assumptions!L24,Assumptions!L28,Assumptions!L32,Assumptions!L36,Assumptions!L40,Assumptions!L44,Assumptions!L48,Assumptions!L52,Assumptions!L56,Assumptions!L60,Assumptions!L64,Assumptions!L68)&gt;=0,Assumptions!L20&lt;=1,Assumptions!L32&lt;=1,Assumptions!L48&lt;1),"OK","Missing/invalid input")</x:f>
        <x:v>OK</x:v>
      </x:c>
      <x:c r="M23" s="2" t="str">
        <x:f>IF(AND(COUNT(Assumptions!M16,Assumptions!M20,Assumptions!M24,Assumptions!M28,Assumptions!M32,Assumptions!M36,Assumptions!M40,Assumptions!M44,Assumptions!M48,Assumptions!M52,Assumptions!M56,Assumptions!M60,Assumptions!M64,Assumptions!M68)=14,ISNUMBER(Assumptions!$E$5),ISNUMBER(Assumptions!$E$6),Assumptions!$E$5&gt;=0,Assumptions!$E$6&gt;=0,MIN(Assumptions!M16,Assumptions!M20,Assumptions!M24,Assumptions!M28,Assumptions!M32,Assumptions!M36,Assumptions!M40,Assumptions!M44,Assumptions!M48,Assumptions!M52,Assumptions!M56,Assumptions!M60,Assumptions!M64,Assumptions!M68)&gt;=0,Assumptions!M20&lt;=1,Assumptions!M32&lt;=1,Assumptions!M48&lt;1),"OK","Missing/invalid input")</x:f>
        <x:v>OK</x:v>
      </x:c>
      <x:c r="N23" s="2" t="str">
        <x:f>IF(AND(COUNT(Assumptions!N16,Assumptions!N20,Assumptions!N24,Assumptions!N28,Assumptions!N32,Assumptions!N36,Assumptions!N40,Assumptions!N44,Assumptions!N48,Assumptions!N52,Assumptions!N56,Assumptions!N60,Assumptions!N64,Assumptions!N68)=14,ISNUMBER(Assumptions!$E$5),ISNUMBER(Assumptions!$E$6),Assumptions!$E$5&gt;=0,Assumptions!$E$6&gt;=0,MIN(Assumptions!N16,Assumptions!N20,Assumptions!N24,Assumptions!N28,Assumptions!N32,Assumptions!N36,Assumptions!N40,Assumptions!N44,Assumptions!N48,Assumptions!N52,Assumptions!N56,Assumptions!N60,Assumptions!N64,Assumptions!N68)&gt;=0,Assumptions!N20&lt;=1,Assumptions!N32&lt;=1,Assumptions!N48&lt;1),"OK","Missing/invalid input")</x:f>
        <x:v>OK</x:v>
      </x:c>
      <x:c r="O23" s="2" t="str">
        <x:f>IF(AND(COUNT(Assumptions!O16,Assumptions!O20,Assumptions!O24,Assumptions!O28,Assumptions!O32,Assumptions!O36,Assumptions!O40,Assumptions!O44,Assumptions!O48,Assumptions!O52,Assumptions!O56,Assumptions!O60,Assumptions!O64,Assumptions!O68)=14,ISNUMBER(Assumptions!$E$5),ISNUMBER(Assumptions!$E$6),Assumptions!$E$5&gt;=0,Assumptions!$E$6&gt;=0,MIN(Assumptions!O16,Assumptions!O20,Assumptions!O24,Assumptions!O28,Assumptions!O32,Assumptions!O36,Assumptions!O40,Assumptions!O44,Assumptions!O48,Assumptions!O52,Assumptions!O56,Assumptions!O60,Assumptions!O64,Assumptions!O68)&gt;=0,Assumptions!O20&lt;=1,Assumptions!O32&lt;=1,Assumptions!O48&lt;1),"OK","Missing/invalid input")</x:f>
        <x:v>OK</x:v>
      </x:c>
      <x:c r="P23" s="2" t="str">
        <x:f>IF(AND(COUNT(Assumptions!P16,Assumptions!P20,Assumptions!P24,Assumptions!P28,Assumptions!P32,Assumptions!P36,Assumptions!P40,Assumptions!P44,Assumptions!P48,Assumptions!P52,Assumptions!P56,Assumptions!P60,Assumptions!P64,Assumptions!P68)=14,ISNUMBER(Assumptions!$E$5),ISNUMBER(Assumptions!$E$6),Assumptions!$E$5&gt;=0,Assumptions!$E$6&gt;=0,MIN(Assumptions!P16,Assumptions!P20,Assumptions!P24,Assumptions!P28,Assumptions!P32,Assumptions!P36,Assumptions!P40,Assumptions!P44,Assumptions!P48,Assumptions!P52,Assumptions!P56,Assumptions!P60,Assumptions!P64,Assumptions!P68)&gt;=0,Assumptions!P20&lt;=1,Assumptions!P32&lt;=1,Assumptions!P48&lt;1),"OK","Missing/invalid input")</x:f>
        <x:v>OK</x:v>
      </x:c>
      <x:c r="Q23" s="2"/>
      <x:c r="R23" s="2"/>
    </x:row>
    <x:row r="24" ht="21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</x:row>
    <x:row r="25" ht="21" customHeight="1">
      <x:c r="A25" s="2"/>
      <x:c r="B25" s="2"/>
      <x:c r="C25" s="2" t="str">
        <x:v>Opening teams</x:v>
      </x:c>
      <x:c r="D25" s="2"/>
      <x:c r="E25" s="45" t="n">
        <x:f>IF(E$23&lt;&gt;"OK","n.a.",Assumptions!$E$5)</x:f>
        <x:v>0</x:v>
      </x:c>
      <x:c r="F25" s="45" t="n">
        <x:f>IF(F$23&lt;&gt;"OK","n.a.",IF(AND(ISNUMBER(E28),ISNUMBER(E48)),E28,"n.a."))</x:f>
        <x:v>5</x:v>
      </x:c>
      <x:c r="G25" s="45" t="n">
        <x:f>IF(G$23&lt;&gt;"OK","n.a.",IF(AND(ISNUMBER(F28),ISNUMBER(F48)),F28,"n.a."))</x:f>
        <x:v>10.85</x:v>
      </x:c>
      <x:c r="H25" s="45" t="n">
        <x:f>IF(H$23&lt;&gt;"OK","n.a.",IF(AND(ISNUMBER(G28),ISNUMBER(G48)),G28,"n.a."))</x:f>
        <x:v>18.5245</x:v>
      </x:c>
      <x:c r="I25" s="45" t="n">
        <x:f>IF(I$23&lt;&gt;"OK","n.a.",IF(AND(ISNUMBER(H28),ISNUMBER(H48)),H28,"n.a."))</x:f>
        <x:v>27.968765</x:v>
      </x:c>
      <x:c r="J25" s="45" t="n">
        <x:f>IF(J$23&lt;&gt;"OK","n.a.",IF(AND(ISNUMBER(I28),ISNUMBER(I48)),I28,"n.a."))</x:f>
        <x:v>39.129702050000006</x:v>
      </x:c>
      <x:c r="K25" s="45" t="n">
        <x:f>IF(K$23&lt;&gt;"OK","n.a.",IF(AND(ISNUMBER(J28),ISNUMBER(J48)),J28,"n.a."))</x:f>
        <x:v>52.955810988500005</x:v>
      </x:c>
      <x:c r="L25" s="45" t="n">
        <x:f>IF(L$23&lt;&gt;"OK","n.a.",IF(AND(ISNUMBER(K28),ISNUMBER(K48)),K28,"n.a."))</x:f>
        <x:v>69.367136658845</x:v>
      </x:c>
      <x:c r="M25" s="45" t="n">
        <x:f>IF(M$23&lt;&gt;"OK","n.a.",IF(AND(ISNUMBER(L28),ISNUMBER(L48)),L28,"n.a."))</x:f>
        <x:v>87.28612255907964</x:v>
      </x:c>
      <x:c r="N25" s="45" t="n">
        <x:f>IF(N$23&lt;&gt;"OK","n.a.",IF(AND(ISNUMBER(M28),ISNUMBER(M48)),M28,"n.a."))</x:f>
        <x:v>106.66753888230726</x:v>
      </x:c>
      <x:c r="O25" s="45" t="n">
        <x:f>IF(O$23&lt;&gt;"OK","n.a.",IF(AND(ISNUMBER(N28),ISNUMBER(N48)),N28,"n.a."))</x:f>
        <x:v>128.46751271583804</x:v>
      </x:c>
      <x:c r="P25" s="45" t="n">
        <x:f>IF(P$23&lt;&gt;"OK","n.a.",IF(AND(ISNUMBER(O28),ISNUMBER(O48)),O28,"n.a."))</x:f>
        <x:v>152.6134873343629</x:v>
      </x:c>
      <x:c r="Q25" s="2"/>
      <x:c r="R25" s="2"/>
    </x:row>
    <x:row r="26" ht="21" customHeight="1">
      <x:c r="A26" s="2"/>
      <x:c r="B26" s="2"/>
      <x:c r="C26" s="2" t="str">
        <x:v>New teams</x:v>
      </x:c>
      <x:c r="D26" s="2"/>
      <x:c r="E26" s="45" t="n">
        <x:f>IF(E$23&lt;&gt;"OK","n.a.",Assumptions!E16)</x:f>
        <x:v>5</x:v>
      </x:c>
      <x:c r="F26" s="45" t="n">
        <x:f>IF(F$23&lt;&gt;"OK","n.a.",IF(AND(ISNUMBER(E28),ISNUMBER(E48)),Assumptions!F16,"n.a."))</x:f>
        <x:v>6</x:v>
      </x:c>
      <x:c r="G26" s="45" t="n">
        <x:f>IF(G$23&lt;&gt;"OK","n.a.",IF(AND(ISNUMBER(F28),ISNUMBER(F48)),Assumptions!G16,"n.a."))</x:f>
        <x:v>8</x:v>
      </x:c>
      <x:c r="H26" s="45" t="n">
        <x:f>IF(H$23&lt;&gt;"OK","n.a.",IF(AND(ISNUMBER(G28),ISNUMBER(G48)),Assumptions!H16,"n.a."))</x:f>
        <x:v>10</x:v>
      </x:c>
      <x:c r="I26" s="45" t="n">
        <x:f>IF(I$23&lt;&gt;"OK","n.a.",IF(AND(ISNUMBER(H28),ISNUMBER(H48)),Assumptions!I16,"n.a."))</x:f>
        <x:v>12</x:v>
      </x:c>
      <x:c r="J26" s="45" t="n">
        <x:f>IF(J$23&lt;&gt;"OK","n.a.",IF(AND(ISNUMBER(I28),ISNUMBER(I48)),Assumptions!J16,"n.a."))</x:f>
        <x:v>15</x:v>
      </x:c>
      <x:c r="K26" s="45" t="n">
        <x:f>IF(K$23&lt;&gt;"OK","n.a.",IF(AND(ISNUMBER(J28),ISNUMBER(J48)),Assumptions!K16,"n.a."))</x:f>
        <x:v>18</x:v>
      </x:c>
      <x:c r="L26" s="45" t="n">
        <x:f>IF(L$23&lt;&gt;"OK","n.a.",IF(AND(ISNUMBER(K28),ISNUMBER(K48)),Assumptions!L16,"n.a."))</x:f>
        <x:v>20</x:v>
      </x:c>
      <x:c r="M26" s="45" t="n">
        <x:f>IF(M$23&lt;&gt;"OK","n.a.",IF(AND(ISNUMBER(L28),ISNUMBER(L48)),Assumptions!M16,"n.a."))</x:f>
        <x:v>22</x:v>
      </x:c>
      <x:c r="N26" s="45" t="n">
        <x:f>IF(N$23&lt;&gt;"OK","n.a.",IF(AND(ISNUMBER(M28),ISNUMBER(M48)),Assumptions!N16,"n.a."))</x:f>
        <x:v>25</x:v>
      </x:c>
      <x:c r="O26" s="45" t="n">
        <x:f>IF(O$23&lt;&gt;"OK","n.a.",IF(AND(ISNUMBER(N28),ISNUMBER(N48)),Assumptions!O16,"n.a."))</x:f>
        <x:v>28</x:v>
      </x:c>
      <x:c r="P26" s="45" t="n">
        <x:f>IF(P$23&lt;&gt;"OK","n.a.",IF(AND(ISNUMBER(O28),ISNUMBER(O48)),Assumptions!P16,"n.a."))</x:f>
        <x:v>30</x:v>
      </x:c>
      <x:c r="Q26" s="2"/>
      <x:c r="R26" s="2"/>
    </x:row>
    <x:row r="27" ht="21" customHeight="1">
      <x:c r="A27" s="2"/>
      <x:c r="B27" s="2"/>
      <x:c r="C27" s="2" t="str">
        <x:v>Churned teams</x:v>
      </x:c>
      <x:c r="D27" s="2"/>
      <x:c r="E27" s="45" t="n">
        <x:f>IF(E$23&lt;&gt;"OK","n.a.",E25*Assumptions!E20)</x:f>
        <x:v>0</x:v>
      </x:c>
      <x:c r="F27" s="45" t="n">
        <x:f>IF(F$23&lt;&gt;"OK","n.a.",IF(AND(ISNUMBER(E28),ISNUMBER(E48)),F25*Assumptions!F20,"n.a."))</x:f>
        <x:v>0.15</x:v>
      </x:c>
      <x:c r="G27" s="45" t="n">
        <x:f>IF(G$23&lt;&gt;"OK","n.a.",IF(AND(ISNUMBER(F28),ISNUMBER(F48)),G25*Assumptions!G20,"n.a."))</x:f>
        <x:v>0.32549999999999996</x:v>
      </x:c>
      <x:c r="H27" s="45" t="n">
        <x:f>IF(H$23&lt;&gt;"OK","n.a.",IF(AND(ISNUMBER(G28),ISNUMBER(G48)),H25*Assumptions!H20,"n.a."))</x:f>
        <x:v>0.555735</x:v>
      </x:c>
      <x:c r="I27" s="45" t="n">
        <x:f>IF(I$23&lt;&gt;"OK","n.a.",IF(AND(ISNUMBER(H28),ISNUMBER(H48)),I25*Assumptions!I20,"n.a."))</x:f>
        <x:v>0.83906295</x:v>
      </x:c>
      <x:c r="J27" s="45" t="n">
        <x:f>IF(J$23&lt;&gt;"OK","n.a.",IF(AND(ISNUMBER(I28),ISNUMBER(I48)),J25*Assumptions!J20,"n.a."))</x:f>
        <x:v>1.1738910615000002</x:v>
      </x:c>
      <x:c r="K27" s="45" t="n">
        <x:f>IF(K$23&lt;&gt;"OK","n.a.",IF(AND(ISNUMBER(J28),ISNUMBER(J48)),K25*Assumptions!K20,"n.a."))</x:f>
        <x:v>1.588674329655</x:v>
      </x:c>
      <x:c r="L27" s="45" t="n">
        <x:f>IF(L$23&lt;&gt;"OK","n.a.",IF(AND(ISNUMBER(K28),ISNUMBER(K48)),L25*Assumptions!L20,"n.a."))</x:f>
        <x:v>2.08101409976535</x:v>
      </x:c>
      <x:c r="M27" s="45" t="n">
        <x:f>IF(M$23&lt;&gt;"OK","n.a.",IF(AND(ISNUMBER(L28),ISNUMBER(L48)),M25*Assumptions!M20,"n.a."))</x:f>
        <x:v>2.6185836767723893</x:v>
      </x:c>
      <x:c r="N27" s="45" t="n">
        <x:f>IF(N$23&lt;&gt;"OK","n.a.",IF(AND(ISNUMBER(M28),ISNUMBER(M48)),N25*Assumptions!N20,"n.a."))</x:f>
        <x:v>3.2000261664692173</x:v>
      </x:c>
      <x:c r="O27" s="45" t="n">
        <x:f>IF(O$23&lt;&gt;"OK","n.a.",IF(AND(ISNUMBER(N28),ISNUMBER(N48)),O25*Assumptions!O20,"n.a."))</x:f>
        <x:v>3.8540253814751413</x:v>
      </x:c>
      <x:c r="P27" s="45" t="n">
        <x:f>IF(P$23&lt;&gt;"OK","n.a.",IF(AND(ISNUMBER(O28),ISNUMBER(O48)),P25*Assumptions!P20,"n.a."))</x:f>
        <x:v>4.578404620030887</x:v>
      </x:c>
      <x:c r="Q27" s="2"/>
      <x:c r="R27" s="2"/>
    </x:row>
    <x:row r="28" ht="21" customHeight="1">
      <x:c r="A28" s="2"/>
      <x:c r="B28" s="2"/>
      <x:c r="C28" s="25" t="str">
        <x:v>Closing / billed teams</x:v>
      </x:c>
      <x:c r="D28" s="25"/>
      <x:c r="E28" s="56" t="n">
        <x:f>IF(E$23&lt;&gt;"OK","n.a.",SUM(E25:E26)-E27)</x:f>
        <x:v>5</x:v>
      </x:c>
      <x:c r="F28" s="56" t="n">
        <x:f>IF(F$23&lt;&gt;"OK","n.a.",IF(AND(ISNUMBER(E28),ISNUMBER(E48)),SUM(F25:F26)-F27,"n.a."))</x:f>
        <x:v>10.85</x:v>
      </x:c>
      <x:c r="G28" s="56" t="n">
        <x:f>IF(G$23&lt;&gt;"OK","n.a.",IF(AND(ISNUMBER(F28),ISNUMBER(F48)),SUM(G25:G26)-G27,"n.a."))</x:f>
        <x:v>18.5245</x:v>
      </x:c>
      <x:c r="H28" s="56" t="n">
        <x:f>IF(H$23&lt;&gt;"OK","n.a.",IF(AND(ISNUMBER(G28),ISNUMBER(G48)),SUM(H25:H26)-H27,"n.a."))</x:f>
        <x:v>27.968765</x:v>
      </x:c>
      <x:c r="I28" s="56" t="n">
        <x:f>IF(I$23&lt;&gt;"OK","n.a.",IF(AND(ISNUMBER(H28),ISNUMBER(H48)),SUM(I25:I26)-I27,"n.a."))</x:f>
        <x:v>39.129702050000006</x:v>
      </x:c>
      <x:c r="J28" s="56" t="n">
        <x:f>IF(J$23&lt;&gt;"OK","n.a.",IF(AND(ISNUMBER(I28),ISNUMBER(I48)),SUM(J25:J26)-J27,"n.a."))</x:f>
        <x:v>52.955810988500005</x:v>
      </x:c>
      <x:c r="K28" s="56" t="n">
        <x:f>IF(K$23&lt;&gt;"OK","n.a.",IF(AND(ISNUMBER(J28),ISNUMBER(J48)),SUM(K25:K26)-K27,"n.a."))</x:f>
        <x:v>69.367136658845</x:v>
      </x:c>
      <x:c r="L28" s="56" t="n">
        <x:f>IF(L$23&lt;&gt;"OK","n.a.",IF(AND(ISNUMBER(K28),ISNUMBER(K48)),SUM(L25:L26)-L27,"n.a."))</x:f>
        <x:v>87.28612255907964</x:v>
      </x:c>
      <x:c r="M28" s="56" t="n">
        <x:f>IF(M$23&lt;&gt;"OK","n.a.",IF(AND(ISNUMBER(L28),ISNUMBER(L48)),SUM(M25:M26)-M27,"n.a."))</x:f>
        <x:v>106.66753888230726</x:v>
      </x:c>
      <x:c r="N28" s="56" t="n">
        <x:f>IF(N$23&lt;&gt;"OK","n.a.",IF(AND(ISNUMBER(M28),ISNUMBER(M48)),SUM(N25:N26)-N27,"n.a."))</x:f>
        <x:v>128.46751271583804</x:v>
      </x:c>
      <x:c r="O28" s="56" t="n">
        <x:f>IF(O$23&lt;&gt;"OK","n.a.",IF(AND(ISNUMBER(N28),ISNUMBER(N48)),SUM(O25:O26)-O27,"n.a."))</x:f>
        <x:v>152.6134873343629</x:v>
      </x:c>
      <x:c r="P28" s="56" t="n">
        <x:f>IF(P$23&lt;&gt;"OK","n.a.",IF(AND(ISNUMBER(O28),ISNUMBER(O48)),SUM(P25:P26)-P27,"n.a."))</x:f>
        <x:v>178.03508271433202</x:v>
      </x:c>
      <x:c r="Q28" s="2"/>
      <x:c r="R28" s="2"/>
    </x:row>
    <x:row r="29" ht="21" customHeight="1">
      <x:c r="A29" s="2"/>
      <x:c r="B29" s="2"/>
      <x:c r="C29" s="2"/>
      <x:c r="D29" s="2"/>
      <x:c r="E29" s="45"/>
      <x:c r="F29" s="45"/>
      <x:c r="G29" s="45"/>
      <x:c r="H29" s="45"/>
      <x:c r="I29" s="45"/>
      <x:c r="J29" s="45"/>
      <x:c r="K29" s="45"/>
      <x:c r="L29" s="45"/>
      <x:c r="M29" s="45"/>
      <x:c r="N29" s="45"/>
      <x:c r="O29" s="45"/>
      <x:c r="P29" s="45"/>
      <x:c r="Q29" s="2"/>
      <x:c r="R29" s="2"/>
    </x:row>
    <x:row r="30" ht="21" customHeight="1">
      <x:c r="A30" s="2"/>
      <x:c r="B30" s="2"/>
      <x:c r="C30" s="2" t="str">
        <x:v>Runs per billed team</x:v>
      </x:c>
      <x:c r="D30" s="2"/>
      <x:c r="E30" s="45" t="n">
        <x:f>IF(E$23&lt;&gt;"OK","n.a.",Assumptions!E28*Assumptions!E32)</x:f>
        <x:v>60</x:v>
      </x:c>
      <x:c r="F30" s="45" t="n">
        <x:f>IF(F$23&lt;&gt;"OK","n.a.",IF(AND(ISNUMBER(E28),ISNUMBER(E48)),Assumptions!F28*Assumptions!F32,"n.a."))</x:f>
        <x:v>60</x:v>
      </x:c>
      <x:c r="G30" s="45" t="n">
        <x:f>IF(G$23&lt;&gt;"OK","n.a.",IF(AND(ISNUMBER(F28),ISNUMBER(F48)),Assumptions!G28*Assumptions!G32,"n.a."))</x:f>
        <x:v>60</x:v>
      </x:c>
      <x:c r="H30" s="45" t="n">
        <x:f>IF(H$23&lt;&gt;"OK","n.a.",IF(AND(ISNUMBER(G28),ISNUMBER(G48)),Assumptions!H28*Assumptions!H32,"n.a."))</x:f>
        <x:v>60</x:v>
      </x:c>
      <x:c r="I30" s="45" t="n">
        <x:f>IF(I$23&lt;&gt;"OK","n.a.",IF(AND(ISNUMBER(H28),ISNUMBER(H48)),Assumptions!I28*Assumptions!I32,"n.a."))</x:f>
        <x:v>60</x:v>
      </x:c>
      <x:c r="J30" s="45" t="n">
        <x:f>IF(J$23&lt;&gt;"OK","n.a.",IF(AND(ISNUMBER(I28),ISNUMBER(I48)),Assumptions!J28*Assumptions!J32,"n.a."))</x:f>
        <x:v>60</x:v>
      </x:c>
      <x:c r="K30" s="45" t="n">
        <x:f>IF(K$23&lt;&gt;"OK","n.a.",IF(AND(ISNUMBER(J28),ISNUMBER(J48)),Assumptions!K28*Assumptions!K32,"n.a."))</x:f>
        <x:v>60</x:v>
      </x:c>
      <x:c r="L30" s="45" t="n">
        <x:f>IF(L$23&lt;&gt;"OK","n.a.",IF(AND(ISNUMBER(K28),ISNUMBER(K48)),Assumptions!L28*Assumptions!L32,"n.a."))</x:f>
        <x:v>60</x:v>
      </x:c>
      <x:c r="M30" s="45" t="n">
        <x:f>IF(M$23&lt;&gt;"OK","n.a.",IF(AND(ISNUMBER(L28),ISNUMBER(L48)),Assumptions!M28*Assumptions!M32,"n.a."))</x:f>
        <x:v>60</x:v>
      </x:c>
      <x:c r="N30" s="45" t="n">
        <x:f>IF(N$23&lt;&gt;"OK","n.a.",IF(AND(ISNUMBER(M28),ISNUMBER(M48)),Assumptions!N28*Assumptions!N32,"n.a."))</x:f>
        <x:v>60</x:v>
      </x:c>
      <x:c r="O30" s="45" t="n">
        <x:f>IF(O$23&lt;&gt;"OK","n.a.",IF(AND(ISNUMBER(N28),ISNUMBER(N48)),Assumptions!O28*Assumptions!O32,"n.a."))</x:f>
        <x:v>60</x:v>
      </x:c>
      <x:c r="P30" s="45" t="n">
        <x:f>IF(P$23&lt;&gt;"OK","n.a.",IF(AND(ISNUMBER(O28),ISNUMBER(O48)),Assumptions!P28*Assumptions!P32,"n.a."))</x:f>
        <x:v>60</x:v>
      </x:c>
      <x:c r="Q30" s="2"/>
      <x:c r="R30" s="2"/>
    </x:row>
    <x:row r="31" ht="21" customHeight="1">
      <x:c r="A31" s="2"/>
      <x:c r="B31" s="2"/>
      <x:c r="C31" s="2" t="str">
        <x:v>Total investigations</x:v>
      </x:c>
      <x:c r="D31" s="2"/>
      <x:c r="E31" s="45" t="n">
        <x:f>IF(E$23&lt;&gt;"OK","n.a.",E28*E30)</x:f>
        <x:v>300</x:v>
      </x:c>
      <x:c r="F31" s="45" t="n">
        <x:f>IF(F$23&lt;&gt;"OK","n.a.",IF(AND(ISNUMBER(E28),ISNUMBER(E48)),F28*F30,"n.a."))</x:f>
        <x:v>651</x:v>
      </x:c>
      <x:c r="G31" s="45" t="n">
        <x:f>IF(G$23&lt;&gt;"OK","n.a.",IF(AND(ISNUMBER(F28),ISNUMBER(F48)),G28*G30,"n.a."))</x:f>
        <x:v>1111.47</x:v>
      </x:c>
      <x:c r="H31" s="45" t="n">
        <x:f>IF(H$23&lt;&gt;"OK","n.a.",IF(AND(ISNUMBER(G28),ISNUMBER(G48)),H28*H30,"n.a."))</x:f>
        <x:v>1678.1259</x:v>
      </x:c>
      <x:c r="I31" s="45" t="n">
        <x:f>IF(I$23&lt;&gt;"OK","n.a.",IF(AND(ISNUMBER(H28),ISNUMBER(H48)),I28*I30,"n.a."))</x:f>
        <x:v>2347.7821230000004</x:v>
      </x:c>
      <x:c r="J31" s="45" t="n">
        <x:f>IF(J$23&lt;&gt;"OK","n.a.",IF(AND(ISNUMBER(I28),ISNUMBER(I48)),J28*J30,"n.a."))</x:f>
        <x:v>3177.34865931</x:v>
      </x:c>
      <x:c r="K31" s="45" t="n">
        <x:f>IF(K$23&lt;&gt;"OK","n.a.",IF(AND(ISNUMBER(J28),ISNUMBER(J48)),K28*K30,"n.a."))</x:f>
        <x:v>4162.0281995307</x:v>
      </x:c>
      <x:c r="L31" s="45" t="n">
        <x:f>IF(L$23&lt;&gt;"OK","n.a.",IF(AND(ISNUMBER(K28),ISNUMBER(K48)),L28*L30,"n.a."))</x:f>
        <x:v>5237.167353544779</x:v>
      </x:c>
      <x:c r="M31" s="45" t="n">
        <x:f>IF(M$23&lt;&gt;"OK","n.a.",IF(AND(ISNUMBER(L28),ISNUMBER(L48)),M28*M30,"n.a."))</x:f>
        <x:v>6400.052332938435</x:v>
      </x:c>
      <x:c r="N31" s="45" t="n">
        <x:f>IF(N$23&lt;&gt;"OK","n.a.",IF(AND(ISNUMBER(M28),ISNUMBER(M48)),N28*N30,"n.a."))</x:f>
        <x:v>7708.050762950283</x:v>
      </x:c>
      <x:c r="O31" s="45" t="n">
        <x:f>IF(O$23&lt;&gt;"OK","n.a.",IF(AND(ISNUMBER(N28),ISNUMBER(N48)),O28*O30,"n.a."))</x:f>
        <x:v>9156.809240061773</x:v>
      </x:c>
      <x:c r="P31" s="45" t="n">
        <x:f>IF(P$23&lt;&gt;"OK","n.a.",IF(AND(ISNUMBER(O28),ISNUMBER(O48)),P28*P30,"n.a."))</x:f>
        <x:v>10682.104962859921</x:v>
      </x:c>
      <x:c r="Q31" s="2"/>
      <x:c r="R31" s="2"/>
    </x:row>
    <x:row r="32" ht="21" customHeight="1">
      <x:c r="A32" s="2"/>
      <x:c r="B32" s="2"/>
      <x:c r="C32" s="25" t="str">
        <x:v>Revenue / cash collected</x:v>
      </x:c>
      <x:c r="D32" s="25"/>
      <x:c r="E32" s="57" t="n">
        <x:f>IF(E$23&lt;&gt;"OK","n.a.",E28*Assumptions!E24)</x:f>
        <x:v>245</x:v>
      </x:c>
      <x:c r="F32" s="57" t="n">
        <x:f>IF(F$23&lt;&gt;"OK","n.a.",IF(AND(ISNUMBER(E28),ISNUMBER(E48)),F28*Assumptions!F24,"n.a."))</x:f>
        <x:v>531.65</x:v>
      </x:c>
      <x:c r="G32" s="57" t="n">
        <x:f>IF(G$23&lt;&gt;"OK","n.a.",IF(AND(ISNUMBER(F28),ISNUMBER(F48)),G28*Assumptions!G24,"n.a."))</x:f>
        <x:v>907.7005</x:v>
      </x:c>
      <x:c r="H32" s="57" t="n">
        <x:f>IF(H$23&lt;&gt;"OK","n.a.",IF(AND(ISNUMBER(G28),ISNUMBER(G48)),H28*Assumptions!H24,"n.a."))</x:f>
        <x:v>1370.469485</x:v>
      </x:c>
      <x:c r="I32" s="57" t="n">
        <x:f>IF(I$23&lt;&gt;"OK","n.a.",IF(AND(ISNUMBER(H28),ISNUMBER(H48)),I28*Assumptions!I24,"n.a."))</x:f>
        <x:v>1917.3554004500004</x:v>
      </x:c>
      <x:c r="J32" s="57" t="n">
        <x:f>IF(J$23&lt;&gt;"OK","n.a.",IF(AND(ISNUMBER(I28),ISNUMBER(I48)),J28*Assumptions!J24,"n.a."))</x:f>
        <x:v>2594.8347384365</x:v>
      </x:c>
      <x:c r="K32" s="57" t="n">
        <x:f>IF(K$23&lt;&gt;"OK","n.a.",IF(AND(ISNUMBER(J28),ISNUMBER(J48)),K28*Assumptions!K24,"n.a."))</x:f>
        <x:v>3398.989696283405</x:v>
      </x:c>
      <x:c r="L32" s="57" t="n">
        <x:f>IF(L$23&lt;&gt;"OK","n.a.",IF(AND(ISNUMBER(K28),ISNUMBER(K48)),L28*Assumptions!L24,"n.a."))</x:f>
        <x:v>4277.020005394903</x:v>
      </x:c>
      <x:c r="M32" s="57" t="n">
        <x:f>IF(M$23&lt;&gt;"OK","n.a.",IF(AND(ISNUMBER(L28),ISNUMBER(L48)),M28*Assumptions!M24,"n.a."))</x:f>
        <x:v>5226.709405233056</x:v>
      </x:c>
      <x:c r="N32" s="57" t="n">
        <x:f>IF(N$23&lt;&gt;"OK","n.a.",IF(AND(ISNUMBER(M28),ISNUMBER(M48)),N28*Assumptions!N24,"n.a."))</x:f>
        <x:v>6294.908123076064</x:v>
      </x:c>
      <x:c r="O32" s="57" t="n">
        <x:f>IF(O$23&lt;&gt;"OK","n.a.",IF(AND(ISNUMBER(N28),ISNUMBER(N48)),O28*Assumptions!O24,"n.a."))</x:f>
        <x:v>7478.060879383782</x:v>
      </x:c>
      <x:c r="P32" s="57" t="n">
        <x:f>IF(P$23&lt;&gt;"OK","n.a.",IF(AND(ISNUMBER(O28),ISNUMBER(O48)),P28*Assumptions!P24,"n.a."))</x:f>
        <x:v>8723.719053002269</x:v>
      </x:c>
      <x:c r="Q32" s="2"/>
      <x:c r="R32" s="2"/>
    </x:row>
    <x:row r="33" ht="21" customHeight="1">
      <x:c r="A33" s="2"/>
      <x:c r="B33" s="2"/>
      <x:c r="C33" s="2"/>
      <x:c r="D33" s="2"/>
      <x:c r="E33" s="47"/>
      <x:c r="F33" s="47"/>
      <x:c r="G33" s="47"/>
      <x:c r="H33" s="47"/>
      <x:c r="I33" s="47"/>
      <x:c r="J33" s="47"/>
      <x:c r="K33" s="47"/>
      <x:c r="L33" s="47"/>
      <x:c r="M33" s="47"/>
      <x:c r="N33" s="47"/>
      <x:c r="O33" s="47"/>
      <x:c r="P33" s="47"/>
      <x:c r="Q33" s="2"/>
      <x:c r="R33" s="2"/>
    </x:row>
    <x:row r="34" ht="21" customHeight="1">
      <x:c r="A34" s="2"/>
      <x:c r="B34" s="2"/>
      <x:c r="C34" s="2" t="str">
        <x:v>Inference cost</x:v>
      </x:c>
      <x:c r="D34" s="2"/>
      <x:c r="E34" s="47" t="n">
        <x:f>IF(E$23&lt;&gt;"OK","n.a.",E31*Assumptions!E36)</x:f>
        <x:v>18</x:v>
      </x:c>
      <x:c r="F34" s="47" t="n">
        <x:f>IF(F$23&lt;&gt;"OK","n.a.",IF(AND(ISNUMBER(E28),ISNUMBER(E48)),F31*Assumptions!F36,"n.a."))</x:f>
        <x:v>39.059999999999995</x:v>
      </x:c>
      <x:c r="G34" s="47" t="n">
        <x:f>IF(G$23&lt;&gt;"OK","n.a.",IF(AND(ISNUMBER(F28),ISNUMBER(F48)),G31*Assumptions!G36,"n.a."))</x:f>
        <x:v>66.6882</x:v>
      </x:c>
      <x:c r="H34" s="47" t="n">
        <x:f>IF(H$23&lt;&gt;"OK","n.a.",IF(AND(ISNUMBER(G28),ISNUMBER(G48)),H31*Assumptions!H36,"n.a."))</x:f>
        <x:v>100.68755399999999</x:v>
      </x:c>
      <x:c r="I34" s="47" t="n">
        <x:f>IF(I$23&lt;&gt;"OK","n.a.",IF(AND(ISNUMBER(H28),ISNUMBER(H48)),I31*Assumptions!I36,"n.a."))</x:f>
        <x:v>140.86692738000002</x:v>
      </x:c>
      <x:c r="J34" s="47" t="n">
        <x:f>IF(J$23&lt;&gt;"OK","n.a.",IF(AND(ISNUMBER(I28),ISNUMBER(I48)),J31*Assumptions!J36,"n.a."))</x:f>
        <x:v>190.6409195586</x:v>
      </x:c>
      <x:c r="K34" s="47" t="n">
        <x:f>IF(K$23&lt;&gt;"OK","n.a.",IF(AND(ISNUMBER(J28),ISNUMBER(J48)),K31*Assumptions!K36,"n.a."))</x:f>
        <x:v>249.72169197184198</x:v>
      </x:c>
      <x:c r="L34" s="47" t="n">
        <x:f>IF(L$23&lt;&gt;"OK","n.a.",IF(AND(ISNUMBER(K28),ISNUMBER(K48)),L31*Assumptions!L36,"n.a."))</x:f>
        <x:v>314.23004121268673</x:v>
      </x:c>
      <x:c r="M34" s="47" t="n">
        <x:f>IF(M$23&lt;&gt;"OK","n.a.",IF(AND(ISNUMBER(L28),ISNUMBER(L48)),M31*Assumptions!M36,"n.a."))</x:f>
        <x:v>384.0031399763061</x:v>
      </x:c>
      <x:c r="N34" s="47" t="n">
        <x:f>IF(N$23&lt;&gt;"OK","n.a.",IF(AND(ISNUMBER(M28),ISNUMBER(M48)),N31*Assumptions!N36,"n.a."))</x:f>
        <x:v>462.48304577701697</x:v>
      </x:c>
      <x:c r="O34" s="47" t="n">
        <x:f>IF(O$23&lt;&gt;"OK","n.a.",IF(AND(ISNUMBER(N28),ISNUMBER(N48)),O31*Assumptions!O36,"n.a."))</x:f>
        <x:v>549.4085544037064</x:v>
      </x:c>
      <x:c r="P34" s="47" t="n">
        <x:f>IF(P$23&lt;&gt;"OK","n.a.",IF(AND(ISNUMBER(O28),ISNUMBER(O48)),P31*Assumptions!P36,"n.a."))</x:f>
        <x:v>640.9262977715953</x:v>
      </x:c>
      <x:c r="Q34" s="2"/>
      <x:c r="R34" s="2"/>
    </x:row>
    <x:row r="35" ht="21" customHeight="1">
      <x:c r="A35" s="2"/>
      <x:c r="B35" s="2"/>
      <x:c r="C35" s="2" t="str">
        <x:v>Browser + storage cost</x:v>
      </x:c>
      <x:c r="D35" s="2"/>
      <x:c r="E35" s="47" t="n">
        <x:f>IF(E$23&lt;&gt;"OK","n.a.",E31*(Assumptions!E40+Assumptions!E44))</x:f>
        <x:v>6</x:v>
      </x:c>
      <x:c r="F35" s="47" t="n">
        <x:f>IF(F$23&lt;&gt;"OK","n.a.",IF(AND(ISNUMBER(E28),ISNUMBER(E48)),F31*(Assumptions!F40+Assumptions!F44),"n.a."))</x:f>
        <x:v>13.02</x:v>
      </x:c>
      <x:c r="G35" s="47" t="n">
        <x:f>IF(G$23&lt;&gt;"OK","n.a.",IF(AND(ISNUMBER(F28),ISNUMBER(F48)),G31*(Assumptions!G40+Assumptions!G44),"n.a."))</x:f>
        <x:v>22.229400000000002</x:v>
      </x:c>
      <x:c r="H35" s="47" t="n">
        <x:f>IF(H$23&lt;&gt;"OK","n.a.",IF(AND(ISNUMBER(G28),ISNUMBER(G48)),H31*(Assumptions!H40+Assumptions!H44),"n.a."))</x:f>
        <x:v>33.562518</x:v>
      </x:c>
      <x:c r="I35" s="47" t="n">
        <x:f>IF(I$23&lt;&gt;"OK","n.a.",IF(AND(ISNUMBER(H28),ISNUMBER(H48)),I31*(Assumptions!I40+Assumptions!I44),"n.a."))</x:f>
        <x:v>46.95564246000001</x:v>
      </x:c>
      <x:c r="J35" s="47" t="n">
        <x:f>IF(J$23&lt;&gt;"OK","n.a.",IF(AND(ISNUMBER(I28),ISNUMBER(I48)),J31*(Assumptions!J40+Assumptions!J44),"n.a."))</x:f>
        <x:v>63.546973186200006</x:v>
      </x:c>
      <x:c r="K35" s="47" t="n">
        <x:f>IF(K$23&lt;&gt;"OK","n.a.",IF(AND(ISNUMBER(J28),ISNUMBER(J48)),K31*(Assumptions!K40+Assumptions!K44),"n.a."))</x:f>
        <x:v>83.24056399061399</x:v>
      </x:c>
      <x:c r="L35" s="47" t="n">
        <x:f>IF(L$23&lt;&gt;"OK","n.a.",IF(AND(ISNUMBER(K28),ISNUMBER(K48)),L31*(Assumptions!L40+Assumptions!L44),"n.a."))</x:f>
        <x:v>104.74334707089558</x:v>
      </x:c>
      <x:c r="M35" s="47" t="n">
        <x:f>IF(M$23&lt;&gt;"OK","n.a.",IF(AND(ISNUMBER(L28),ISNUMBER(L48)),M31*(Assumptions!M40+Assumptions!M44),"n.a."))</x:f>
        <x:v>128.0010466587687</x:v>
      </x:c>
      <x:c r="N35" s="47" t="n">
        <x:f>IF(N$23&lt;&gt;"OK","n.a.",IF(AND(ISNUMBER(M28),ISNUMBER(M48)),N31*(Assumptions!N40+Assumptions!N44),"n.a."))</x:f>
        <x:v>154.16101525900567</x:v>
      </x:c>
      <x:c r="O35" s="47" t="n">
        <x:f>IF(O$23&lt;&gt;"OK","n.a.",IF(AND(ISNUMBER(N28),ISNUMBER(N48)),O31*(Assumptions!O40+Assumptions!O44),"n.a."))</x:f>
        <x:v>183.13618480123546</x:v>
      </x:c>
      <x:c r="P35" s="47" t="n">
        <x:f>IF(P$23&lt;&gt;"OK","n.a.",IF(AND(ISNUMBER(O28),ISNUMBER(O48)),P31*(Assumptions!P40+Assumptions!P44),"n.a."))</x:f>
        <x:v>213.64209925719842</x:v>
      </x:c>
      <x:c r="Q35" s="2"/>
      <x:c r="R35" s="2"/>
    </x:row>
    <x:row r="36" ht="21" customHeight="1">
      <x:c r="A36" s="2"/>
      <x:c r="B36" s="2"/>
      <x:c r="C36" s="2" t="str">
        <x:v>Payment fees</x:v>
      </x:c>
      <x:c r="D36" s="2"/>
      <x:c r="E36" s="47" t="n">
        <x:f>IF(E$23&lt;&gt;"OK","n.a.",E32*Assumptions!E48+E28*Assumptions!E52)</x:f>
        <x:v>8.85</x:v>
      </x:c>
      <x:c r="F36" s="47" t="n">
        <x:f>IF(F$23&lt;&gt;"OK","n.a.",IF(AND(ISNUMBER(E28),ISNUMBER(E48)),F32*Assumptions!F48+F28*Assumptions!F52,"n.a."))</x:f>
        <x:v>19.2045</x:v>
      </x:c>
      <x:c r="G36" s="47" t="n">
        <x:f>IF(G$23&lt;&gt;"OK","n.a.",IF(AND(ISNUMBER(F28),ISNUMBER(F48)),G32*Assumptions!G48+G28*Assumptions!G52,"n.a."))</x:f>
        <x:v>32.788365</x:v>
      </x:c>
      <x:c r="H36" s="47" t="n">
        <x:f>IF(H$23&lt;&gt;"OK","n.a.",IF(AND(ISNUMBER(G28),ISNUMBER(G48)),H32*Assumptions!H48+H28*Assumptions!H52,"n.a."))</x:f>
        <x:v>49.504714050000004</x:v>
      </x:c>
      <x:c r="I36" s="47" t="n">
        <x:f>IF(I$23&lt;&gt;"OK","n.a.",IF(AND(ISNUMBER(H28),ISNUMBER(H48)),I32*Assumptions!I48+I28*Assumptions!I52,"n.a."))</x:f>
        <x:v>69.25957262850001</x:v>
      </x:c>
      <x:c r="J36" s="47" t="n">
        <x:f>IF(J$23&lt;&gt;"OK","n.a.",IF(AND(ISNUMBER(I28),ISNUMBER(I48)),J32*Assumptions!J48+J28*Assumptions!J52,"n.a."))</x:f>
        <x:v>93.731785449645</x:v>
      </x:c>
      <x:c r="K36" s="47" t="n">
        <x:f>IF(K$23&lt;&gt;"OK","n.a.",IF(AND(ISNUMBER(J28),ISNUMBER(J48)),K32*Assumptions!K48+K28*Assumptions!K52,"n.a."))</x:f>
        <x:v>122.77983188615565</x:v>
      </x:c>
      <x:c r="L36" s="47" t="n">
        <x:f>IF(L$23&lt;&gt;"OK","n.a.",IF(AND(ISNUMBER(K28),ISNUMBER(K48)),L32*Assumptions!L48+L28*Assumptions!L52,"n.a."))</x:f>
        <x:v>154.49643692957096</x:v>
      </x:c>
      <x:c r="M36" s="47" t="n">
        <x:f>IF(M$23&lt;&gt;"OK","n.a.",IF(AND(ISNUMBER(L28),ISNUMBER(L48)),M32*Assumptions!M48+M28*Assumptions!M52,"n.a."))</x:f>
        <x:v>188.80154382168385</x:v>
      </x:c>
      <x:c r="N36" s="47" t="n">
        <x:f>IF(N$23&lt;&gt;"OK","n.a.",IF(AND(ISNUMBER(M28),ISNUMBER(M48)),N32*Assumptions!N48+N28*Assumptions!N52,"n.a."))</x:f>
        <x:v>227.38749750703334</x:v>
      </x:c>
      <x:c r="O36" s="47" t="n">
        <x:f>IF(O$23&lt;&gt;"OK","n.a.",IF(AND(ISNUMBER(N28),ISNUMBER(N48)),O32*Assumptions!O48+O28*Assumptions!O52,"n.a."))</x:f>
        <x:v>270.1258725818223</x:v>
      </x:c>
      <x:c r="P36" s="47" t="n">
        <x:f>IF(P$23&lt;&gt;"OK","n.a.",IF(AND(ISNUMBER(O28),ISNUMBER(O48)),P32*Assumptions!P48+P28*Assumptions!P52,"n.a."))</x:f>
        <x:v>315.12209640436765</x:v>
      </x:c>
      <x:c r="Q36" s="2"/>
      <x:c r="R36" s="2"/>
    </x:row>
    <x:row r="37" ht="21" customHeight="1">
      <x:c r="A37" s="2"/>
      <x:c r="B37" s="2"/>
      <x:c r="C37" s="2" t="str">
        <x:v>Fixed service hosting</x:v>
      </x:c>
      <x:c r="D37" s="2"/>
      <x:c r="E37" s="47" t="n">
        <x:f>IF(E$23&lt;&gt;"OK","n.a.",Assumptions!E56)</x:f>
        <x:v>50</x:v>
      </x:c>
      <x:c r="F37" s="47" t="n">
        <x:f>IF(F$23&lt;&gt;"OK","n.a.",IF(AND(ISNUMBER(E28),ISNUMBER(E48)),Assumptions!F56,"n.a."))</x:f>
        <x:v>50</x:v>
      </x:c>
      <x:c r="G37" s="47" t="n">
        <x:f>IF(G$23&lt;&gt;"OK","n.a.",IF(AND(ISNUMBER(F28),ISNUMBER(F48)),Assumptions!G56,"n.a."))</x:f>
        <x:v>50</x:v>
      </x:c>
      <x:c r="H37" s="47" t="n">
        <x:f>IF(H$23&lt;&gt;"OK","n.a.",IF(AND(ISNUMBER(G28),ISNUMBER(G48)),Assumptions!H56,"n.a."))</x:f>
        <x:v>50</x:v>
      </x:c>
      <x:c r="I37" s="47" t="n">
        <x:f>IF(I$23&lt;&gt;"OK","n.a.",IF(AND(ISNUMBER(H28),ISNUMBER(H48)),Assumptions!I56,"n.a."))</x:f>
        <x:v>50</x:v>
      </x:c>
      <x:c r="J37" s="47" t="n">
        <x:f>IF(J$23&lt;&gt;"OK","n.a.",IF(AND(ISNUMBER(I28),ISNUMBER(I48)),Assumptions!J56,"n.a."))</x:f>
        <x:v>50</x:v>
      </x:c>
      <x:c r="K37" s="47" t="n">
        <x:f>IF(K$23&lt;&gt;"OK","n.a.",IF(AND(ISNUMBER(J28),ISNUMBER(J48)),Assumptions!K56,"n.a."))</x:f>
        <x:v>50</x:v>
      </x:c>
      <x:c r="L37" s="47" t="n">
        <x:f>IF(L$23&lt;&gt;"OK","n.a.",IF(AND(ISNUMBER(K28),ISNUMBER(K48)),Assumptions!L56,"n.a."))</x:f>
        <x:v>50</x:v>
      </x:c>
      <x:c r="M37" s="47" t="n">
        <x:f>IF(M$23&lt;&gt;"OK","n.a.",IF(AND(ISNUMBER(L28),ISNUMBER(L48)),Assumptions!M56,"n.a."))</x:f>
        <x:v>50</x:v>
      </x:c>
      <x:c r="N37" s="47" t="n">
        <x:f>IF(N$23&lt;&gt;"OK","n.a.",IF(AND(ISNUMBER(M28),ISNUMBER(M48)),Assumptions!N56,"n.a."))</x:f>
        <x:v>50</x:v>
      </x:c>
      <x:c r="O37" s="47" t="n">
        <x:f>IF(O$23&lt;&gt;"OK","n.a.",IF(AND(ISNUMBER(N28),ISNUMBER(N48)),Assumptions!O56,"n.a."))</x:f>
        <x:v>50</x:v>
      </x:c>
      <x:c r="P37" s="47" t="n">
        <x:f>IF(P$23&lt;&gt;"OK","n.a.",IF(AND(ISNUMBER(O28),ISNUMBER(O48)),Assumptions!P56,"n.a."))</x:f>
        <x:v>50</x:v>
      </x:c>
      <x:c r="Q37" s="2"/>
      <x:c r="R37" s="2"/>
    </x:row>
    <x:row r="38" ht="21" customHeight="1">
      <x:c r="A38" s="2"/>
      <x:c r="B38" s="2"/>
      <x:c r="C38" s="25" t="str">
        <x:v>Total cost of revenue</x:v>
      </x:c>
      <x:c r="D38" s="25"/>
      <x:c r="E38" s="57" t="n">
        <x:f>IF(E$23&lt;&gt;"OK","n.a.",SUM(E34:E37))</x:f>
        <x:v>82.85</x:v>
      </x:c>
      <x:c r="F38" s="57" t="n">
        <x:f>IF(F$23&lt;&gt;"OK","n.a.",IF(AND(ISNUMBER(E28),ISNUMBER(E48)),SUM(F34:F37),"n.a."))</x:f>
        <x:v>121.2845</x:v>
      </x:c>
      <x:c r="G38" s="57" t="n">
        <x:f>IF(G$23&lt;&gt;"OK","n.a.",IF(AND(ISNUMBER(F28),ISNUMBER(F48)),SUM(G34:G37),"n.a."))</x:f>
        <x:v>171.705965</x:v>
      </x:c>
      <x:c r="H38" s="57" t="n">
        <x:f>IF(H$23&lt;&gt;"OK","n.a.",IF(AND(ISNUMBER(G28),ISNUMBER(G48)),SUM(H34:H37),"n.a."))</x:f>
        <x:v>233.75478605</x:v>
      </x:c>
      <x:c r="I38" s="57" t="n">
        <x:f>IF(I$23&lt;&gt;"OK","n.a.",IF(AND(ISNUMBER(H28),ISNUMBER(H48)),SUM(I34:I37),"n.a."))</x:f>
        <x:v>307.0821424685</x:v>
      </x:c>
      <x:c r="J38" s="57" t="n">
        <x:f>IF(J$23&lt;&gt;"OK","n.a.",IF(AND(ISNUMBER(I28),ISNUMBER(I48)),SUM(J34:J37),"n.a."))</x:f>
        <x:v>397.919678194445</x:v>
      </x:c>
      <x:c r="K38" s="57" t="n">
        <x:f>IF(K$23&lt;&gt;"OK","n.a.",IF(AND(ISNUMBER(J28),ISNUMBER(J48)),SUM(K34:K37),"n.a."))</x:f>
        <x:v>505.7420878486116</x:v>
      </x:c>
      <x:c r="L38" s="57" t="n">
        <x:f>IF(L$23&lt;&gt;"OK","n.a.",IF(AND(ISNUMBER(K28),ISNUMBER(K48)),SUM(L34:L37),"n.a."))</x:f>
        <x:v>623.4698252131533</x:v>
      </x:c>
      <x:c r="M38" s="57" t="n">
        <x:f>IF(M$23&lt;&gt;"OK","n.a.",IF(AND(ISNUMBER(L28),ISNUMBER(L48)),SUM(M34:M37),"n.a."))</x:f>
        <x:v>750.8057304567586</x:v>
      </x:c>
      <x:c r="N38" s="57" t="n">
        <x:f>IF(N$23&lt;&gt;"OK","n.a.",IF(AND(ISNUMBER(M28),ISNUMBER(M48)),SUM(N34:N37),"n.a."))</x:f>
        <x:v>894.031558543056</x:v>
      </x:c>
      <x:c r="O38" s="57" t="n">
        <x:f>IF(O$23&lt;&gt;"OK","n.a.",IF(AND(ISNUMBER(N28),ISNUMBER(N48)),SUM(O34:O37),"n.a."))</x:f>
        <x:v>1052.670611786764</x:v>
      </x:c>
      <x:c r="P38" s="57" t="n">
        <x:f>IF(P$23&lt;&gt;"OK","n.a.",IF(AND(ISNUMBER(O28),ISNUMBER(O48)),SUM(P34:P37),"n.a."))</x:f>
        <x:v>1219.6904934331615</x:v>
      </x:c>
      <x:c r="Q38" s="2"/>
      <x:c r="R38" s="2"/>
    </x:row>
    <x:row r="39" ht="21" customHeight="1">
      <x:c r="A39" s="2"/>
      <x:c r="B39" s="2"/>
      <x:c r="C39" s="25" t="str">
        <x:v>Gross profit</x:v>
      </x:c>
      <x:c r="D39" s="25"/>
      <x:c r="E39" s="57" t="n">
        <x:f>IF(E$23&lt;&gt;"OK","n.a.",E32-E38)</x:f>
        <x:v>162.15</x:v>
      </x:c>
      <x:c r="F39" s="57" t="n">
        <x:f>IF(F$23&lt;&gt;"OK","n.a.",IF(AND(ISNUMBER(E28),ISNUMBER(E48)),F32-F38,"n.a."))</x:f>
        <x:v>410.3655</x:v>
      </x:c>
      <x:c r="G39" s="57" t="n">
        <x:f>IF(G$23&lt;&gt;"OK","n.a.",IF(AND(ISNUMBER(F28),ISNUMBER(F48)),G32-G38,"n.a."))</x:f>
        <x:v>735.994535</x:v>
      </x:c>
      <x:c r="H39" s="57" t="n">
        <x:f>IF(H$23&lt;&gt;"OK","n.a.",IF(AND(ISNUMBER(G28),ISNUMBER(G48)),H32-H38,"n.a."))</x:f>
        <x:v>1136.7146989500002</x:v>
      </x:c>
      <x:c r="I39" s="57" t="n">
        <x:f>IF(I$23&lt;&gt;"OK","n.a.",IF(AND(ISNUMBER(H28),ISNUMBER(H48)),I32-I38,"n.a."))</x:f>
        <x:v>1610.2732579815004</x:v>
      </x:c>
      <x:c r="J39" s="57" t="n">
        <x:f>IF(J$23&lt;&gt;"OK","n.a.",IF(AND(ISNUMBER(I28),ISNUMBER(I48)),J32-J38,"n.a."))</x:f>
        <x:v>2196.915060242055</x:v>
      </x:c>
      <x:c r="K39" s="57" t="n">
        <x:f>IF(K$23&lt;&gt;"OK","n.a.",IF(AND(ISNUMBER(J28),ISNUMBER(J48)),K32-K38,"n.a."))</x:f>
        <x:v>2893.2476084347936</x:v>
      </x:c>
      <x:c r="L39" s="57" t="n">
        <x:f>IF(L$23&lt;&gt;"OK","n.a.",IF(AND(ISNUMBER(K28),ISNUMBER(K48)),L32-L38,"n.a."))</x:f>
        <x:v>3653.5501801817495</x:v>
      </x:c>
      <x:c r="M39" s="57" t="n">
        <x:f>IF(M$23&lt;&gt;"OK","n.a.",IF(AND(ISNUMBER(L28),ISNUMBER(L48)),M32-M38,"n.a."))</x:f>
        <x:v>4475.9036747762975</x:v>
      </x:c>
      <x:c r="N39" s="57" t="n">
        <x:f>IF(N$23&lt;&gt;"OK","n.a.",IF(AND(ISNUMBER(M28),ISNUMBER(M48)),N32-N38,"n.a."))</x:f>
        <x:v>5400.876564533008</x:v>
      </x:c>
      <x:c r="O39" s="57" t="n">
        <x:f>IF(O$23&lt;&gt;"OK","n.a.",IF(AND(ISNUMBER(N28),ISNUMBER(N48)),O32-O38,"n.a."))</x:f>
        <x:v>6425.390267597018</x:v>
      </x:c>
      <x:c r="P39" s="57" t="n">
        <x:f>IF(P$23&lt;&gt;"OK","n.a.",IF(AND(ISNUMBER(O28),ISNUMBER(O48)),P32-P38,"n.a."))</x:f>
        <x:v>7504.0285595691075</x:v>
      </x:c>
      <x:c r="Q39" s="2"/>
      <x:c r="R39" s="2"/>
    </x:row>
    <x:row r="40" ht="21" customHeight="1">
      <x:c r="A40" s="2"/>
      <x:c r="B40" s="2"/>
      <x:c r="C40" s="52" t="str">
        <x:v>Gross margin</x:v>
      </x:c>
      <x:c r="D40" s="52"/>
      <x:c r="E40" s="58" t="n">
        <x:f>IF(E$23&lt;&gt;"OK","n.a.",IF(E32=0,"n.a.",E39/E32))</x:f>
        <x:v>0.6618367346938776</x:v>
      </x:c>
      <x:c r="F40" s="58" t="n">
        <x:f>IF(F$23&lt;&gt;"OK","n.a.",IF(AND(ISNUMBER(E28),ISNUMBER(E48)),IF(F32=0,"n.a.",F39/F32),"n.a."))</x:f>
        <x:v>0.7718715320229474</x:v>
      </x:c>
      <x:c r="G40" s="58" t="n">
        <x:f>IF(G$23&lt;&gt;"OK","n.a.",IF(AND(ISNUMBER(F28),ISNUMBER(F48)),IF(G32=0,"n.a.",G39/G32),"n.a."))</x:f>
        <x:v>0.8108341187429113</x:v>
      </x:c>
      <x:c r="H40" s="58" t="n">
        <x:f>IF(H$23&lt;&gt;"OK","n.a.",IF(AND(ISNUMBER(G28),ISNUMBER(G48)),IF(H32=0,"n.a.",H39/H32),"n.a."))</x:f>
        <x:v>0.8294345196237625</x:v>
      </x:c>
      <x:c r="I40" s="58" t="n">
        <x:f>IF(I$23&lt;&gt;"OK","n.a.",IF(AND(ISNUMBER(H28),ISNUMBER(H48)),IF(I32=0,"n.a.",I39/I32),"n.a."))</x:f>
        <x:v>0.8398407815283341</x:v>
      </x:c>
      <x:c r="J40" s="58" t="n">
        <x:f>IF(J$23&lt;&gt;"OK","n.a.",IF(AND(ISNUMBER(I28),ISNUMBER(I48)),IF(J32=0,"n.a.",J39/J32),"n.a."))</x:f>
        <x:v>0.8466493174689773</x:v>
      </x:c>
      <x:c r="K40" s="58" t="n">
        <x:f>IF(K$23&lt;&gt;"OK","n.a.",IF(AND(ISNUMBER(J28),ISNUMBER(J48)),IF(K32=0,"n.a.",K39/K32),"n.a."))</x:f>
        <x:v>0.8512081138693622</x:v>
      </x:c>
      <x:c r="L40" s="58" t="n">
        <x:f>IF(L$23&lt;&gt;"OK","n.a.",IF(AND(ISNUMBER(K28),ISNUMBER(K48)),IF(L32=0,"n.a.",L39/L32),"n.a."))</x:f>
        <x:v>0.8542279848056059</x:v>
      </x:c>
      <x:c r="M40" s="58" t="n">
        <x:f>IF(M$23&lt;&gt;"OK","n.a.",IF(AND(ISNUMBER(L28),ISNUMBER(L48)),IF(M32=0,"n.a.",M39/M32),"n.a."))</x:f>
        <x:v>0.856352119039746</x:v>
      </x:c>
      <x:c r="N40" s="58" t="n">
        <x:f>IF(N$23&lt;&gt;"OK","n.a.",IF(AND(ISNUMBER(M28),ISNUMBER(M48)),IF(N32=0,"n.a.",N39/N32),"n.a."))</x:f>
        <x:v>0.8579754396627827</x:v>
      </x:c>
      <x:c r="O40" s="58" t="n">
        <x:f>IF(O$23&lt;&gt;"OK","n.a.",IF(AND(ISNUMBER(N28),ISNUMBER(N48)),IF(O32=0,"n.a.",O39/O32),"n.a."))</x:f>
        <x:v>0.8592321420264356</x:v>
      </x:c>
      <x:c r="P40" s="58" t="n">
        <x:f>IF(P$23&lt;&gt;"OK","n.a.",IF(AND(ISNUMBER(O28),ISNUMBER(O48)),IF(P32=0,"n.a.",P39/P32),"n.a."))</x:f>
        <x:v>0.8601868668600229</x:v>
      </x:c>
      <x:c r="Q40" s="2"/>
      <x:c r="R40" s="2"/>
    </x:row>
    <x:row r="41" ht="21" customHeight="1">
      <x:c r="A41" s="2"/>
      <x:c r="B41" s="2"/>
      <x:c r="C41" s="2"/>
      <x:c r="D41" s="2"/>
      <x:c r="E41" s="47"/>
      <x:c r="F41" s="47"/>
      <x:c r="G41" s="47"/>
      <x:c r="H41" s="47"/>
      <x:c r="I41" s="47"/>
      <x:c r="J41" s="47"/>
      <x:c r="K41" s="47"/>
      <x:c r="L41" s="47"/>
      <x:c r="M41" s="47"/>
      <x:c r="N41" s="47"/>
      <x:c r="O41" s="47"/>
      <x:c r="P41" s="47"/>
      <x:c r="Q41" s="2"/>
      <x:c r="R41" s="2"/>
    </x:row>
    <x:row r="42" ht="21" customHeight="1">
      <x:c r="A42" s="2"/>
      <x:c r="B42" s="2"/>
      <x:c r="C42" s="2" t="str">
        <x:v>Founder/contractor cash pay</x:v>
      </x:c>
      <x:c r="D42" s="2"/>
      <x:c r="E42" s="47" t="n">
        <x:f>IF(E$23&lt;&gt;"OK","n.a.",Assumptions!E60)</x:f>
        <x:v>1000</x:v>
      </x:c>
      <x:c r="F42" s="47" t="n">
        <x:f>IF(F$23&lt;&gt;"OK","n.a.",IF(AND(ISNUMBER(E28),ISNUMBER(E48)),Assumptions!F60,"n.a."))</x:f>
        <x:v>1000</x:v>
      </x:c>
      <x:c r="G42" s="47" t="n">
        <x:f>IF(G$23&lt;&gt;"OK","n.a.",IF(AND(ISNUMBER(F28),ISNUMBER(F48)),Assumptions!G60,"n.a."))</x:f>
        <x:v>1000</x:v>
      </x:c>
      <x:c r="H42" s="47" t="n">
        <x:f>IF(H$23&lt;&gt;"OK","n.a.",IF(AND(ISNUMBER(G28),ISNUMBER(G48)),Assumptions!H60,"n.a."))</x:f>
        <x:v>1000</x:v>
      </x:c>
      <x:c r="I42" s="47" t="n">
        <x:f>IF(I$23&lt;&gt;"OK","n.a.",IF(AND(ISNUMBER(H28),ISNUMBER(H48)),Assumptions!I60,"n.a."))</x:f>
        <x:v>1000</x:v>
      </x:c>
      <x:c r="J42" s="47" t="n">
        <x:f>IF(J$23&lt;&gt;"OK","n.a.",IF(AND(ISNUMBER(I28),ISNUMBER(I48)),Assumptions!J60,"n.a."))</x:f>
        <x:v>1000</x:v>
      </x:c>
      <x:c r="K42" s="47" t="n">
        <x:f>IF(K$23&lt;&gt;"OK","n.a.",IF(AND(ISNUMBER(J28),ISNUMBER(J48)),Assumptions!K60,"n.a."))</x:f>
        <x:v>1000</x:v>
      </x:c>
      <x:c r="L42" s="47" t="n">
        <x:f>IF(L$23&lt;&gt;"OK","n.a.",IF(AND(ISNUMBER(K28),ISNUMBER(K48)),Assumptions!L60,"n.a."))</x:f>
        <x:v>1000</x:v>
      </x:c>
      <x:c r="M42" s="47" t="n">
        <x:f>IF(M$23&lt;&gt;"OK","n.a.",IF(AND(ISNUMBER(L28),ISNUMBER(L48)),Assumptions!M60,"n.a."))</x:f>
        <x:v>1000</x:v>
      </x:c>
      <x:c r="N42" s="47" t="n">
        <x:f>IF(N$23&lt;&gt;"OK","n.a.",IF(AND(ISNUMBER(M28),ISNUMBER(M48)),Assumptions!N60,"n.a."))</x:f>
        <x:v>1000</x:v>
      </x:c>
      <x:c r="O42" s="47" t="n">
        <x:f>IF(O$23&lt;&gt;"OK","n.a.",IF(AND(ISNUMBER(N28),ISNUMBER(N48)),Assumptions!O60,"n.a."))</x:f>
        <x:v>1000</x:v>
      </x:c>
      <x:c r="P42" s="47" t="n">
        <x:f>IF(P$23&lt;&gt;"OK","n.a.",IF(AND(ISNUMBER(O28),ISNUMBER(O48)),Assumptions!P60,"n.a."))</x:f>
        <x:v>1000</x:v>
      </x:c>
      <x:c r="Q42" s="2"/>
      <x:c r="R42" s="2"/>
    </x:row>
    <x:row r="43" ht="21" customHeight="1">
      <x:c r="A43" s="2"/>
      <x:c r="B43" s="2"/>
      <x:c r="C43" s="2" t="str">
        <x:v>Marketing</x:v>
      </x:c>
      <x:c r="D43" s="2"/>
      <x:c r="E43" s="47" t="n">
        <x:f>IF(E$23&lt;&gt;"OK","n.a.",Assumptions!E64)</x:f>
        <x:v>200</x:v>
      </x:c>
      <x:c r="F43" s="47" t="n">
        <x:f>IF(F$23&lt;&gt;"OK","n.a.",IF(AND(ISNUMBER(E28),ISNUMBER(E48)),Assumptions!F64,"n.a."))</x:f>
        <x:v>200</x:v>
      </x:c>
      <x:c r="G43" s="47" t="n">
        <x:f>IF(G$23&lt;&gt;"OK","n.a.",IF(AND(ISNUMBER(F28),ISNUMBER(F48)),Assumptions!G64,"n.a."))</x:f>
        <x:v>200</x:v>
      </x:c>
      <x:c r="H43" s="47" t="n">
        <x:f>IF(H$23&lt;&gt;"OK","n.a.",IF(AND(ISNUMBER(G28),ISNUMBER(G48)),Assumptions!H64,"n.a."))</x:f>
        <x:v>200</x:v>
      </x:c>
      <x:c r="I43" s="47" t="n">
        <x:f>IF(I$23&lt;&gt;"OK","n.a.",IF(AND(ISNUMBER(H28),ISNUMBER(H48)),Assumptions!I64,"n.a."))</x:f>
        <x:v>200</x:v>
      </x:c>
      <x:c r="J43" s="47" t="n">
        <x:f>IF(J$23&lt;&gt;"OK","n.a.",IF(AND(ISNUMBER(I28),ISNUMBER(I48)),Assumptions!J64,"n.a."))</x:f>
        <x:v>200</x:v>
      </x:c>
      <x:c r="K43" s="47" t="n">
        <x:f>IF(K$23&lt;&gt;"OK","n.a.",IF(AND(ISNUMBER(J28),ISNUMBER(J48)),Assumptions!K64,"n.a."))</x:f>
        <x:v>200</x:v>
      </x:c>
      <x:c r="L43" s="47" t="n">
        <x:f>IF(L$23&lt;&gt;"OK","n.a.",IF(AND(ISNUMBER(K28),ISNUMBER(K48)),Assumptions!L64,"n.a."))</x:f>
        <x:v>200</x:v>
      </x:c>
      <x:c r="M43" s="47" t="n">
        <x:f>IF(M$23&lt;&gt;"OK","n.a.",IF(AND(ISNUMBER(L28),ISNUMBER(L48)),Assumptions!M64,"n.a."))</x:f>
        <x:v>200</x:v>
      </x:c>
      <x:c r="N43" s="47" t="n">
        <x:f>IF(N$23&lt;&gt;"OK","n.a.",IF(AND(ISNUMBER(M28),ISNUMBER(M48)),Assumptions!N64,"n.a."))</x:f>
        <x:v>200</x:v>
      </x:c>
      <x:c r="O43" s="47" t="n">
        <x:f>IF(O$23&lt;&gt;"OK","n.a.",IF(AND(ISNUMBER(N28),ISNUMBER(N48)),Assumptions!O64,"n.a."))</x:f>
        <x:v>200</x:v>
      </x:c>
      <x:c r="P43" s="47" t="n">
        <x:f>IF(P$23&lt;&gt;"OK","n.a.",IF(AND(ISNUMBER(O28),ISNUMBER(O48)),Assumptions!P64,"n.a."))</x:f>
        <x:v>200</x:v>
      </x:c>
      <x:c r="Q43" s="2"/>
      <x:c r="R43" s="2"/>
    </x:row>
    <x:row r="44" ht="21" customHeight="1">
      <x:c r="A44" s="2"/>
      <x:c r="B44" s="2"/>
      <x:c r="C44" s="2" t="str">
        <x:v>Other operating cash spend</x:v>
      </x:c>
      <x:c r="D44" s="2"/>
      <x:c r="E44" s="47" t="n">
        <x:f>IF(E$23&lt;&gt;"OK","n.a.",Assumptions!E68)</x:f>
        <x:v>150</x:v>
      </x:c>
      <x:c r="F44" s="47" t="n">
        <x:f>IF(F$23&lt;&gt;"OK","n.a.",IF(AND(ISNUMBER(E28),ISNUMBER(E48)),Assumptions!F68,"n.a."))</x:f>
        <x:v>150</x:v>
      </x:c>
      <x:c r="G44" s="47" t="n">
        <x:f>IF(G$23&lt;&gt;"OK","n.a.",IF(AND(ISNUMBER(F28),ISNUMBER(F48)),Assumptions!G68,"n.a."))</x:f>
        <x:v>150</x:v>
      </x:c>
      <x:c r="H44" s="47" t="n">
        <x:f>IF(H$23&lt;&gt;"OK","n.a.",IF(AND(ISNUMBER(G28),ISNUMBER(G48)),Assumptions!H68,"n.a."))</x:f>
        <x:v>150</x:v>
      </x:c>
      <x:c r="I44" s="47" t="n">
        <x:f>IF(I$23&lt;&gt;"OK","n.a.",IF(AND(ISNUMBER(H28),ISNUMBER(H48)),Assumptions!I68,"n.a."))</x:f>
        <x:v>150</x:v>
      </x:c>
      <x:c r="J44" s="47" t="n">
        <x:f>IF(J$23&lt;&gt;"OK","n.a.",IF(AND(ISNUMBER(I28),ISNUMBER(I48)),Assumptions!J68,"n.a."))</x:f>
        <x:v>150</x:v>
      </x:c>
      <x:c r="K44" s="47" t="n">
        <x:f>IF(K$23&lt;&gt;"OK","n.a.",IF(AND(ISNUMBER(J28),ISNUMBER(J48)),Assumptions!K68,"n.a."))</x:f>
        <x:v>150</x:v>
      </x:c>
      <x:c r="L44" s="47" t="n">
        <x:f>IF(L$23&lt;&gt;"OK","n.a.",IF(AND(ISNUMBER(K28),ISNUMBER(K48)),Assumptions!L68,"n.a."))</x:f>
        <x:v>150</x:v>
      </x:c>
      <x:c r="M44" s="47" t="n">
        <x:f>IF(M$23&lt;&gt;"OK","n.a.",IF(AND(ISNUMBER(L28),ISNUMBER(L48)),Assumptions!M68,"n.a."))</x:f>
        <x:v>150</x:v>
      </x:c>
      <x:c r="N44" s="47" t="n">
        <x:f>IF(N$23&lt;&gt;"OK","n.a.",IF(AND(ISNUMBER(M28),ISNUMBER(M48)),Assumptions!N68,"n.a."))</x:f>
        <x:v>150</x:v>
      </x:c>
      <x:c r="O44" s="47" t="n">
        <x:f>IF(O$23&lt;&gt;"OK","n.a.",IF(AND(ISNUMBER(N28),ISNUMBER(N48)),Assumptions!O68,"n.a."))</x:f>
        <x:v>150</x:v>
      </x:c>
      <x:c r="P44" s="47" t="n">
        <x:f>IF(P$23&lt;&gt;"OK","n.a.",IF(AND(ISNUMBER(O28),ISNUMBER(O48)),Assumptions!P68,"n.a."))</x:f>
        <x:v>150</x:v>
      </x:c>
      <x:c r="Q44" s="2"/>
      <x:c r="R44" s="2"/>
    </x:row>
    <x:row r="45" ht="21" customHeight="1">
      <x:c r="A45" s="2"/>
      <x:c r="B45" s="2"/>
      <x:c r="C45" s="25" t="str">
        <x:v>Total operating cash spend</x:v>
      </x:c>
      <x:c r="D45" s="25"/>
      <x:c r="E45" s="57" t="n">
        <x:f>IF(E$23&lt;&gt;"OK","n.a.",SUM(E42:E44))</x:f>
        <x:v>1350</x:v>
      </x:c>
      <x:c r="F45" s="57" t="n">
        <x:f>IF(F$23&lt;&gt;"OK","n.a.",IF(AND(ISNUMBER(E28),ISNUMBER(E48)),SUM(F42:F44),"n.a."))</x:f>
        <x:v>1350</x:v>
      </x:c>
      <x:c r="G45" s="57" t="n">
        <x:f>IF(G$23&lt;&gt;"OK","n.a.",IF(AND(ISNUMBER(F28),ISNUMBER(F48)),SUM(G42:G44),"n.a."))</x:f>
        <x:v>1350</x:v>
      </x:c>
      <x:c r="H45" s="57" t="n">
        <x:f>IF(H$23&lt;&gt;"OK","n.a.",IF(AND(ISNUMBER(G28),ISNUMBER(G48)),SUM(H42:H44),"n.a."))</x:f>
        <x:v>1350</x:v>
      </x:c>
      <x:c r="I45" s="57" t="n">
        <x:f>IF(I$23&lt;&gt;"OK","n.a.",IF(AND(ISNUMBER(H28),ISNUMBER(H48)),SUM(I42:I44),"n.a."))</x:f>
        <x:v>1350</x:v>
      </x:c>
      <x:c r="J45" s="57" t="n">
        <x:f>IF(J$23&lt;&gt;"OK","n.a.",IF(AND(ISNUMBER(I28),ISNUMBER(I48)),SUM(J42:J44),"n.a."))</x:f>
        <x:v>1350</x:v>
      </x:c>
      <x:c r="K45" s="57" t="n">
        <x:f>IF(K$23&lt;&gt;"OK","n.a.",IF(AND(ISNUMBER(J28),ISNUMBER(J48)),SUM(K42:K44),"n.a."))</x:f>
        <x:v>1350</x:v>
      </x:c>
      <x:c r="L45" s="57" t="n">
        <x:f>IF(L$23&lt;&gt;"OK","n.a.",IF(AND(ISNUMBER(K28),ISNUMBER(K48)),SUM(L42:L44),"n.a."))</x:f>
        <x:v>1350</x:v>
      </x:c>
      <x:c r="M45" s="57" t="n">
        <x:f>IF(M$23&lt;&gt;"OK","n.a.",IF(AND(ISNUMBER(L28),ISNUMBER(L48)),SUM(M42:M44),"n.a."))</x:f>
        <x:v>1350</x:v>
      </x:c>
      <x:c r="N45" s="57" t="n">
        <x:f>IF(N$23&lt;&gt;"OK","n.a.",IF(AND(ISNUMBER(M28),ISNUMBER(M48)),SUM(N42:N44),"n.a."))</x:f>
        <x:v>1350</x:v>
      </x:c>
      <x:c r="O45" s="57" t="n">
        <x:f>IF(O$23&lt;&gt;"OK","n.a.",IF(AND(ISNUMBER(N28),ISNUMBER(N48)),SUM(O42:O44),"n.a."))</x:f>
        <x:v>1350</x:v>
      </x:c>
      <x:c r="P45" s="57" t="n">
        <x:f>IF(P$23&lt;&gt;"OK","n.a.",IF(AND(ISNUMBER(O28),ISNUMBER(O48)),SUM(P42:P44),"n.a."))</x:f>
        <x:v>1350</x:v>
      </x:c>
      <x:c r="Q45" s="2"/>
      <x:c r="R45" s="2"/>
    </x:row>
    <x:row r="46" ht="21" customHeight="1">
      <x:c r="A46" s="2"/>
      <x:c r="B46" s="2"/>
      <x:c r="C46" s="25" t="str">
        <x:v>Net operating cash flow</x:v>
      </x:c>
      <x:c r="D46" s="25"/>
      <x:c r="E46" s="57" t="n">
        <x:f>IF(E$23&lt;&gt;"OK","n.a.",E39-E45)</x:f>
        <x:v>-1187.85</x:v>
      </x:c>
      <x:c r="F46" s="57" t="n">
        <x:f>IF(F$23&lt;&gt;"OK","n.a.",IF(AND(ISNUMBER(E28),ISNUMBER(E48)),F39-F45,"n.a."))</x:f>
        <x:v>-939.6345</x:v>
      </x:c>
      <x:c r="G46" s="57" t="n">
        <x:f>IF(G$23&lt;&gt;"OK","n.a.",IF(AND(ISNUMBER(F28),ISNUMBER(F48)),G39-G45,"n.a."))</x:f>
        <x:v>-614.005465</x:v>
      </x:c>
      <x:c r="H46" s="57" t="n">
        <x:f>IF(H$23&lt;&gt;"OK","n.a.",IF(AND(ISNUMBER(G28),ISNUMBER(G48)),H39-H45,"n.a."))</x:f>
        <x:v>-213.28530104999982</x:v>
      </x:c>
      <x:c r="I46" s="57" t="n">
        <x:f>IF(I$23&lt;&gt;"OK","n.a.",IF(AND(ISNUMBER(H28),ISNUMBER(H48)),I39-I45,"n.a."))</x:f>
        <x:v>260.27325798150036</x:v>
      </x:c>
      <x:c r="J46" s="57" t="n">
        <x:f>IF(J$23&lt;&gt;"OK","n.a.",IF(AND(ISNUMBER(I28),ISNUMBER(I48)),J39-J45,"n.a."))</x:f>
        <x:v>846.915060242055</x:v>
      </x:c>
      <x:c r="K46" s="57" t="n">
        <x:f>IF(K$23&lt;&gt;"OK","n.a.",IF(AND(ISNUMBER(J28),ISNUMBER(J48)),K39-K45,"n.a."))</x:f>
        <x:v>1543.2476084347936</x:v>
      </x:c>
      <x:c r="L46" s="57" t="n">
        <x:f>IF(L$23&lt;&gt;"OK","n.a.",IF(AND(ISNUMBER(K28),ISNUMBER(K48)),L39-L45,"n.a."))</x:f>
        <x:v>2303.5501801817495</x:v>
      </x:c>
      <x:c r="M46" s="57" t="n">
        <x:f>IF(M$23&lt;&gt;"OK","n.a.",IF(AND(ISNUMBER(L28),ISNUMBER(L48)),M39-M45,"n.a."))</x:f>
        <x:v>3125.9036747762975</x:v>
      </x:c>
      <x:c r="N46" s="57" t="n">
        <x:f>IF(N$23&lt;&gt;"OK","n.a.",IF(AND(ISNUMBER(M28),ISNUMBER(M48)),N39-N45,"n.a."))</x:f>
        <x:v>4050.8765645330077</x:v>
      </x:c>
      <x:c r="O46" s="57" t="n">
        <x:f>IF(O$23&lt;&gt;"OK","n.a.",IF(AND(ISNUMBER(N28),ISNUMBER(N48)),O39-O45,"n.a."))</x:f>
        <x:v>5075.390267597018</x:v>
      </x:c>
      <x:c r="P46" s="57" t="n">
        <x:f>IF(P$23&lt;&gt;"OK","n.a.",IF(AND(ISNUMBER(O28),ISNUMBER(O48)),P39-P45,"n.a."))</x:f>
        <x:v>6154.0285595691075</x:v>
      </x:c>
      <x:c r="Q46" s="2"/>
      <x:c r="R46" s="2"/>
    </x:row>
    <x:row r="47" ht="21" customHeight="1">
      <x:c r="A47" s="2"/>
      <x:c r="B47" s="2"/>
      <x:c r="C47" s="2" t="str">
        <x:v>Opening cash</x:v>
      </x:c>
      <x:c r="D47" s="2"/>
      <x:c r="E47" s="47" t="n">
        <x:f>IF(E$23&lt;&gt;"OK","n.a.",Assumptions!$E$6)</x:f>
        <x:v>10000</x:v>
      </x:c>
      <x:c r="F47" s="47" t="n">
        <x:f>IF(F$23&lt;&gt;"OK","n.a.",IF(AND(ISNUMBER(E28),ISNUMBER(E48)),E48,"n.a."))</x:f>
        <x:v>8812.15</x:v>
      </x:c>
      <x:c r="G47" s="47" t="n">
        <x:f>IF(G$23&lt;&gt;"OK","n.a.",IF(AND(ISNUMBER(F28),ISNUMBER(F48)),F48,"n.a."))</x:f>
        <x:v>7872.5154999999995</x:v>
      </x:c>
      <x:c r="H47" s="47" t="n">
        <x:f>IF(H$23&lt;&gt;"OK","n.a.",IF(AND(ISNUMBER(G28),ISNUMBER(G48)),G48,"n.a."))</x:f>
        <x:v>7258.510034999999</x:v>
      </x:c>
      <x:c r="I47" s="47" t="n">
        <x:f>IF(I$23&lt;&gt;"OK","n.a.",IF(AND(ISNUMBER(H28),ISNUMBER(H48)),H48,"n.a."))</x:f>
        <x:v>7045.224733949999</x:v>
      </x:c>
      <x:c r="J47" s="47" t="n">
        <x:f>IF(J$23&lt;&gt;"OK","n.a.",IF(AND(ISNUMBER(I28),ISNUMBER(I48)),I48,"n.a."))</x:f>
        <x:v>7305.497991931499</x:v>
      </x:c>
      <x:c r="K47" s="47" t="n">
        <x:f>IF(K$23&lt;&gt;"OK","n.a.",IF(AND(ISNUMBER(J28),ISNUMBER(J48)),J48,"n.a."))</x:f>
        <x:v>8152.413052173554</x:v>
      </x:c>
      <x:c r="L47" s="47" t="n">
        <x:f>IF(L$23&lt;&gt;"OK","n.a.",IF(AND(ISNUMBER(K28),ISNUMBER(K48)),K48,"n.a."))</x:f>
        <x:v>9695.660660608348</x:v>
      </x:c>
      <x:c r="M47" s="47" t="n">
        <x:f>IF(M$23&lt;&gt;"OK","n.a.",IF(AND(ISNUMBER(L28),ISNUMBER(L48)),L48,"n.a."))</x:f>
        <x:v>11999.210840790098</x:v>
      </x:c>
      <x:c r="N47" s="47" t="n">
        <x:f>IF(N$23&lt;&gt;"OK","n.a.",IF(AND(ISNUMBER(M28),ISNUMBER(M48)),M48,"n.a."))</x:f>
        <x:v>15125.114515566394</x:v>
      </x:c>
      <x:c r="O47" s="47" t="n">
        <x:f>IF(O$23&lt;&gt;"OK","n.a.",IF(AND(ISNUMBER(N28),ISNUMBER(N48)),N48,"n.a."))</x:f>
        <x:v>19175.991080099404</x:v>
      </x:c>
      <x:c r="P47" s="47" t="n">
        <x:f>IF(P$23&lt;&gt;"OK","n.a.",IF(AND(ISNUMBER(O28),ISNUMBER(O48)),O48,"n.a."))</x:f>
        <x:v>24251.38134769642</x:v>
      </x:c>
      <x:c r="Q47" s="2"/>
      <x:c r="R47" s="2"/>
    </x:row>
    <x:row r="48" ht="21" customHeight="1">
      <x:c r="A48" s="2"/>
      <x:c r="B48" s="2"/>
      <x:c r="C48" s="25" t="str">
        <x:v>Closing cash</x:v>
      </x:c>
      <x:c r="D48" s="25"/>
      <x:c r="E48" s="57" t="n">
        <x:f>IF(E$23&lt;&gt;"OK","n.a.",E47+E46)</x:f>
        <x:v>8812.15</x:v>
      </x:c>
      <x:c r="F48" s="57" t="n">
        <x:f>IF(F$23&lt;&gt;"OK","n.a.",IF(AND(ISNUMBER(E28),ISNUMBER(E48)),F47+F46,"n.a."))</x:f>
        <x:v>7872.5154999999995</x:v>
      </x:c>
      <x:c r="G48" s="57" t="n">
        <x:f>IF(G$23&lt;&gt;"OK","n.a.",IF(AND(ISNUMBER(F28),ISNUMBER(F48)),G47+G46,"n.a."))</x:f>
        <x:v>7258.510034999999</x:v>
      </x:c>
      <x:c r="H48" s="57" t="n">
        <x:f>IF(H$23&lt;&gt;"OK","n.a.",IF(AND(ISNUMBER(G28),ISNUMBER(G48)),H47+H46,"n.a."))</x:f>
        <x:v>7045.224733949999</x:v>
      </x:c>
      <x:c r="I48" s="57" t="n">
        <x:f>IF(I$23&lt;&gt;"OK","n.a.",IF(AND(ISNUMBER(H28),ISNUMBER(H48)),I47+I46,"n.a."))</x:f>
        <x:v>7305.497991931499</x:v>
      </x:c>
      <x:c r="J48" s="57" t="n">
        <x:f>IF(J$23&lt;&gt;"OK","n.a.",IF(AND(ISNUMBER(I28),ISNUMBER(I48)),J47+J46,"n.a."))</x:f>
        <x:v>8152.413052173554</x:v>
      </x:c>
      <x:c r="K48" s="57" t="n">
        <x:f>IF(K$23&lt;&gt;"OK","n.a.",IF(AND(ISNUMBER(J28),ISNUMBER(J48)),K47+K46,"n.a."))</x:f>
        <x:v>9695.660660608348</x:v>
      </x:c>
      <x:c r="L48" s="57" t="n">
        <x:f>IF(L$23&lt;&gt;"OK","n.a.",IF(AND(ISNUMBER(K28),ISNUMBER(K48)),L47+L46,"n.a."))</x:f>
        <x:v>11999.210840790098</x:v>
      </x:c>
      <x:c r="M48" s="57" t="n">
        <x:f>IF(M$23&lt;&gt;"OK","n.a.",IF(AND(ISNUMBER(L28),ISNUMBER(L48)),M47+M46,"n.a."))</x:f>
        <x:v>15125.114515566394</x:v>
      </x:c>
      <x:c r="N48" s="57" t="n">
        <x:f>IF(N$23&lt;&gt;"OK","n.a.",IF(AND(ISNUMBER(M28),ISNUMBER(M48)),N47+N46,"n.a."))</x:f>
        <x:v>19175.991080099404</x:v>
      </x:c>
      <x:c r="O48" s="57" t="n">
        <x:f>IF(O$23&lt;&gt;"OK","n.a.",IF(AND(ISNUMBER(N28),ISNUMBER(N48)),O47+O46,"n.a."))</x:f>
        <x:v>24251.38134769642</x:v>
      </x:c>
      <x:c r="P48" s="57" t="n">
        <x:f>IF(P$23&lt;&gt;"OK","n.a.",IF(AND(ISNUMBER(O28),ISNUMBER(O48)),P47+P46,"n.a."))</x:f>
        <x:v>30405.40990726553</x:v>
      </x:c>
      <x:c r="Q48" s="2"/>
      <x:c r="R48" s="2"/>
    </x:row>
    <x:row r="49" ht="21" customHeight="1">
      <x:c r="A49" s="2"/>
      <x:c r="B49" s="2"/>
      <x:c r="C49" s="2" t="str">
        <x:v>Cash burn (nonnegative)</x:v>
      </x:c>
      <x:c r="D49" s="2"/>
      <x:c r="E49" s="47" t="n">
        <x:f>IF(E$23&lt;&gt;"OK","n.a.",MAX(0,-E46))</x:f>
        <x:v>1187.85</x:v>
      </x:c>
      <x:c r="F49" s="47" t="n">
        <x:f>IF(F$23&lt;&gt;"OK","n.a.",IF(AND(ISNUMBER(E28),ISNUMBER(E48)),MAX(0,-F46),"n.a."))</x:f>
        <x:v>939.6345</x:v>
      </x:c>
      <x:c r="G49" s="47" t="n">
        <x:f>IF(G$23&lt;&gt;"OK","n.a.",IF(AND(ISNUMBER(F28),ISNUMBER(F48)),MAX(0,-G46),"n.a."))</x:f>
        <x:v>614.005465</x:v>
      </x:c>
      <x:c r="H49" s="47" t="n">
        <x:f>IF(H$23&lt;&gt;"OK","n.a.",IF(AND(ISNUMBER(G28),ISNUMBER(G48)),MAX(0,-H46),"n.a."))</x:f>
        <x:v>213.28530104999982</x:v>
      </x:c>
      <x:c r="I49" s="47" t="n">
        <x:f>IF(I$23&lt;&gt;"OK","n.a.",IF(AND(ISNUMBER(H28),ISNUMBER(H48)),MAX(0,-I46),"n.a."))</x:f>
        <x:v>0</x:v>
      </x:c>
      <x:c r="J49" s="47" t="n">
        <x:f>IF(J$23&lt;&gt;"OK","n.a.",IF(AND(ISNUMBER(I28),ISNUMBER(I48)),MAX(0,-J46),"n.a."))</x:f>
        <x:v>0</x:v>
      </x:c>
      <x:c r="K49" s="47" t="n">
        <x:f>IF(K$23&lt;&gt;"OK","n.a.",IF(AND(ISNUMBER(J28),ISNUMBER(J48)),MAX(0,-K46),"n.a."))</x:f>
        <x:v>0</x:v>
      </x:c>
      <x:c r="L49" s="47" t="n">
        <x:f>IF(L$23&lt;&gt;"OK","n.a.",IF(AND(ISNUMBER(K28),ISNUMBER(K48)),MAX(0,-L46),"n.a."))</x:f>
        <x:v>0</x:v>
      </x:c>
      <x:c r="M49" s="47" t="n">
        <x:f>IF(M$23&lt;&gt;"OK","n.a.",IF(AND(ISNUMBER(L28),ISNUMBER(L48)),MAX(0,-M46),"n.a."))</x:f>
        <x:v>0</x:v>
      </x:c>
      <x:c r="N49" s="47" t="n">
        <x:f>IF(N$23&lt;&gt;"OK","n.a.",IF(AND(ISNUMBER(M28),ISNUMBER(M48)),MAX(0,-N46),"n.a."))</x:f>
        <x:v>0</x:v>
      </x:c>
      <x:c r="O49" s="47" t="n">
        <x:f>IF(O$23&lt;&gt;"OK","n.a.",IF(AND(ISNUMBER(N28),ISNUMBER(N48)),MAX(0,-O46),"n.a."))</x:f>
        <x:v>0</x:v>
      </x:c>
      <x:c r="P49" s="47" t="n">
        <x:f>IF(P$23&lt;&gt;"OK","n.a.",IF(AND(ISNUMBER(O28),ISNUMBER(O48)),MAX(0,-P46),"n.a."))</x:f>
        <x:v>0</x:v>
      </x:c>
      <x:c r="Q49" s="2"/>
      <x:c r="R49" s="2"/>
    </x:row>
    <x:row r="50" ht="21" customHeight="1">
      <x:c r="A50" s="2"/>
      <x:c r="B50" s="2"/>
      <x:c r="C50" s="2" t="str">
        <x:v>Negative closing cash flag</x:v>
      </x:c>
      <x:c r="D50" s="2"/>
      <x:c r="E50" s="2" t="n">
        <x:f>IF(E$23&lt;&gt;"OK","n.a.",IF(E48&lt;0,1,0))</x:f>
        <x:v>0</x:v>
      </x:c>
      <x:c r="F50" s="2" t="n">
        <x:f>IF(F$23&lt;&gt;"OK","n.a.",IF(AND(ISNUMBER(E28),ISNUMBER(E48)),IF(F48&lt;0,1,0),"n.a."))</x:f>
        <x:v>0</x:v>
      </x:c>
      <x:c r="G50" s="2" t="n">
        <x:f>IF(G$23&lt;&gt;"OK","n.a.",IF(AND(ISNUMBER(F28),ISNUMBER(F48)),IF(G48&lt;0,1,0),"n.a."))</x:f>
        <x:v>0</x:v>
      </x:c>
      <x:c r="H50" s="2" t="n">
        <x:f>IF(H$23&lt;&gt;"OK","n.a.",IF(AND(ISNUMBER(G28),ISNUMBER(G48)),IF(H48&lt;0,1,0),"n.a."))</x:f>
        <x:v>0</x:v>
      </x:c>
      <x:c r="I50" s="2" t="n">
        <x:f>IF(I$23&lt;&gt;"OK","n.a.",IF(AND(ISNUMBER(H28),ISNUMBER(H48)),IF(I48&lt;0,1,0),"n.a."))</x:f>
        <x:v>0</x:v>
      </x:c>
      <x:c r="J50" s="2" t="n">
        <x:f>IF(J$23&lt;&gt;"OK","n.a.",IF(AND(ISNUMBER(I28),ISNUMBER(I48)),IF(J48&lt;0,1,0),"n.a."))</x:f>
        <x:v>0</x:v>
      </x:c>
      <x:c r="K50" s="2" t="n">
        <x:f>IF(K$23&lt;&gt;"OK","n.a.",IF(AND(ISNUMBER(J28),ISNUMBER(J48)),IF(K48&lt;0,1,0),"n.a."))</x:f>
        <x:v>0</x:v>
      </x:c>
      <x:c r="L50" s="2" t="n">
        <x:f>IF(L$23&lt;&gt;"OK","n.a.",IF(AND(ISNUMBER(K28),ISNUMBER(K48)),IF(L48&lt;0,1,0),"n.a."))</x:f>
        <x:v>0</x:v>
      </x:c>
      <x:c r="M50" s="2" t="n">
        <x:f>IF(M$23&lt;&gt;"OK","n.a.",IF(AND(ISNUMBER(L28),ISNUMBER(L48)),IF(M48&lt;0,1,0),"n.a."))</x:f>
        <x:v>0</x:v>
      </x:c>
      <x:c r="N50" s="2" t="n">
        <x:f>IF(N$23&lt;&gt;"OK","n.a.",IF(AND(ISNUMBER(M28),ISNUMBER(M48)),IF(N48&lt;0,1,0),"n.a."))</x:f>
        <x:v>0</x:v>
      </x:c>
      <x:c r="O50" s="2" t="n">
        <x:f>IF(O$23&lt;&gt;"OK","n.a.",IF(AND(ISNUMBER(N28),ISNUMBER(N48)),IF(O48&lt;0,1,0),"n.a."))</x:f>
        <x:v>0</x:v>
      </x:c>
      <x:c r="P50" s="2" t="n">
        <x:f>IF(P$23&lt;&gt;"OK","n.a.",IF(AND(ISNUMBER(O28),ISNUMBER(O48)),IF(P48&lt;0,1,0),"n.a."))</x:f>
        <x:v>0</x:v>
      </x:c>
      <x:c r="Q50" s="2"/>
      <x:c r="R50" s="2"/>
    </x:row>
    <x:row r="51" ht="21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</x:row>
    <x:row r="52" ht="21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</x:row>
    <x:row r="53" ht="21" customHeight="1">
      <x:c r="A53" s="2"/>
      <x:c r="B53" s="2"/>
      <x:c r="C53" s="2" t="str">
        <x:v>Commercial cost is unknown until measured. All selected scenario values are assumptions.</x:v>
      </x:c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</x:row>
    <x:row r="54" ht="21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</x:row>
    <x:row r="55" ht="21" customHeight="1">
      <x:c r="A55" s="2"/>
      <x:c r="B55" s="2"/>
      <x:c r="C55" s="2" t="str">
        <x:v>Cash plan excludes tax, debt, capex and changes in working capital. No additional funding is assumed.</x:v>
      </x:c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</x:row>
    <x:row r="56" ht="21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</x:row>
    <x:row r="57" ht="21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</x:row>
    <x:row r="58" ht="21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</x:row>
    <x:row r="59" ht="21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</x:row>
    <x:row r="60" ht="21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</x:row>
    <x:row r="61" ht="21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</x:row>
    <x:row r="62" ht="21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</x:row>
    <x:row r="63" ht="21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</x:row>
    <x:row r="64" ht="21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</x:row>
    <x:row r="65" ht="21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</x:row>
  </x:sheetData>
  <x:conditionalFormatting sqref="E48:P48">
    <x:cfRule type="cellIs" dxfId="1" priority="1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200e8893c4da4a39"/>
</x:worksheet>
</file>

<file path=xl/worksheets/sheet2.xml><?xml version="1.0" encoding="utf-8"?>
<x:worksheet xmlns:x="http://schemas.openxmlformats.org/spreadsheetml/2006/main">
  <x:sheetPr>
    <x:tabColor rgb="FF25466A"/>
  </x:sheetPr>
  <x:sheetViews>
    <x:sheetView showGridLines="0" workbookViewId="0">
      <x:pane xSplit="4" ySplit="14" topLeftCell="E15" activePane="bottomRigh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34" hidden="0" customWidth="1"/>
    <x:col min="4" max="4" width="12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3" hidden="0" customWidth="1"/>
    <x:col min="18" max="18" width="65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1" customHeight="1">
      <x:c r="A2" s="2"/>
      <x:c r="B2" s="2"/>
      <x:c r="C2" s="3" t="str">
        <x:v>Forecast assumptions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1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2"/>
      <x:c r="R3" s="2"/>
    </x:row>
    <x:row r="4" ht="21" customHeight="1">
      <x:c r="A4" s="2"/>
      <x:c r="B4" s="2"/>
      <x:c r="C4" s="2" t="str">
        <x:v>Case selected</x:v>
      </x:c>
      <x:c r="D4" s="2"/>
      <x:c r="E4" s="9" t="str">
        <x:v>Base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1" customHeight="1">
      <x:c r="A5" s="2"/>
      <x:c r="B5" s="2"/>
      <x:c r="C5" s="2" t="str">
        <x:v>Opening teams (forecast assumption)</x:v>
      </x:c>
      <x:c r="D5" s="2"/>
      <x:c r="E5" s="12" t="n">
        <x:v>0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21" customHeight="1">
      <x:c r="A6" s="2"/>
      <x:c r="B6" s="2"/>
      <x:c r="C6" s="2" t="str">
        <x:v>Opening cash (assumed USD)</x:v>
      </x:c>
      <x:c r="D6" s="2"/>
      <x:c r="E6" s="13" t="n">
        <x:v>10000</x:v>
      </x:c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1" customHeight="1">
      <x:c r="A7" s="2"/>
      <x:c r="B7" s="2"/>
      <x:c r="C7" s="2" t="str">
        <x:v>Target contribution margin</x:v>
      </x:c>
      <x:c r="D7" s="2"/>
      <x:c r="E7" s="14" t="n">
        <x:v>0.7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</x:row>
    <x:row r="8" ht="21" customHeight="1">
      <x:c r="A8" s="2"/>
      <x:c r="B8" s="2"/>
      <x:c r="C8" s="2" t="str">
        <x:v>Inference cost basis</x:v>
      </x:c>
      <x:c r="D8" s="2"/>
      <x:c r="E8" s="11" t="str">
        <x:v>Planning</x:v>
      </x:c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</x:row>
    <x:row r="9" ht="21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</x:row>
    <x:row r="10" ht="21" customHeight="1">
      <x:c r="A10" s="2"/>
      <x:c r="B10" s="2"/>
      <x:c r="C10" s="2" t="str">
        <x:v>All forecasts and scenario inputs are illustrative. No customer or spending actuals are claimed.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</x:row>
    <x:row r="11" ht="21" customHeight="1">
      <x:c r="A11" s="2"/>
      <x:c r="B11" s="2"/>
      <x:c r="C11" s="2" t="str">
        <x:v>Edit blue cells. Forecast months use closing teams billed for the full month; no proration.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</x:row>
    <x:row r="12" ht="21" customHeight="1">
      <x:c r="A12" s="2"/>
      <x:c r="B12" s="2"/>
      <x:c r="C12" s="2" t="str">
        <x:v>Measured mode uses every entered run, including failures and cancellations, only when all costs have a source.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</x:row>
    <x:row r="13" ht="21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</x:row>
    <x:row r="14" ht="21" customHeight="1">
      <x:c r="A14" s="2"/>
      <x:c r="B14" s="2"/>
      <x:c r="C14" s="20" t="str">
        <x:v>Driver</x:v>
      </x:c>
      <x:c r="D14" s="20" t="str">
        <x:v>Case</x:v>
      </x:c>
      <x:c r="E14" s="21" t="n">
        <x:v>46327</x:v>
      </x:c>
      <x:c r="F14" s="21" t="n">
        <x:v>46357</x:v>
      </x:c>
      <x:c r="G14" s="21" t="n">
        <x:v>46388</x:v>
      </x:c>
      <x:c r="H14" s="21" t="n">
        <x:v>46419</x:v>
      </x:c>
      <x:c r="I14" s="21" t="n">
        <x:v>46447</x:v>
      </x:c>
      <x:c r="J14" s="21" t="n">
        <x:v>46478</x:v>
      </x:c>
      <x:c r="K14" s="21" t="n">
        <x:v>46508</x:v>
      </x:c>
      <x:c r="L14" s="21" t="n">
        <x:v>46539</x:v>
      </x:c>
      <x:c r="M14" s="21" t="n">
        <x:v>46569</x:v>
      </x:c>
      <x:c r="N14" s="21" t="n">
        <x:v>46600</x:v>
      </x:c>
      <x:c r="O14" s="21" t="n">
        <x:v>46631</x:v>
      </x:c>
      <x:c r="P14" s="21" t="n">
        <x:v>46661</x:v>
      </x:c>
      <x:c r="Q14" s="2"/>
      <x:c r="R14" s="2" t="str">
        <x:v>Basis / source</x:v>
      </x:c>
    </x:row>
    <x:row r="15" ht="21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</x:row>
    <x:row r="16" ht="21" customHeight="1">
      <x:c r="A16" s="2"/>
      <x:c r="B16" s="2"/>
      <x:c r="C16" s="25" t="str">
        <x:v>New teams</x:v>
      </x:c>
      <x:c r="D16" s="25" t="str">
        <x:v>Active</x:v>
      </x:c>
      <x:c r="E16" s="27" t="n">
        <x:f>IF($E$4="Base",IF(ISNUMBER(E17),E17,"n.a."),IF($E$4="Downside",IF(ISNUMBER(E18),E18,"n.a."),"n.a."))</x:f>
        <x:v>5</x:v>
      </x:c>
      <x:c r="F16" s="27" t="n">
        <x:f>IF($E$4="Base",IF(ISNUMBER(F17),F17,"n.a."),IF($E$4="Downside",IF(ISNUMBER(F18),F18,"n.a."),"n.a."))</x:f>
        <x:v>6</x:v>
      </x:c>
      <x:c r="G16" s="27" t="n">
        <x:f>IF($E$4="Base",IF(ISNUMBER(G17),G17,"n.a."),IF($E$4="Downside",IF(ISNUMBER(G18),G18,"n.a."),"n.a."))</x:f>
        <x:v>8</x:v>
      </x:c>
      <x:c r="H16" s="27" t="n">
        <x:f>IF($E$4="Base",IF(ISNUMBER(H17),H17,"n.a."),IF($E$4="Downside",IF(ISNUMBER(H18),H18,"n.a."),"n.a."))</x:f>
        <x:v>10</x:v>
      </x:c>
      <x:c r="I16" s="27" t="n">
        <x:f>IF($E$4="Base",IF(ISNUMBER(I17),I17,"n.a."),IF($E$4="Downside",IF(ISNUMBER(I18),I18,"n.a."),"n.a."))</x:f>
        <x:v>12</x:v>
      </x:c>
      <x:c r="J16" s="27" t="n">
        <x:f>IF($E$4="Base",IF(ISNUMBER(J17),J17,"n.a."),IF($E$4="Downside",IF(ISNUMBER(J18),J18,"n.a."),"n.a."))</x:f>
        <x:v>15</x:v>
      </x:c>
      <x:c r="K16" s="27" t="n">
        <x:f>IF($E$4="Base",IF(ISNUMBER(K17),K17,"n.a."),IF($E$4="Downside",IF(ISNUMBER(K18),K18,"n.a."),"n.a."))</x:f>
        <x:v>18</x:v>
      </x:c>
      <x:c r="L16" s="27" t="n">
        <x:f>IF($E$4="Base",IF(ISNUMBER(L17),L17,"n.a."),IF($E$4="Downside",IF(ISNUMBER(L18),L18,"n.a."),"n.a."))</x:f>
        <x:v>20</x:v>
      </x:c>
      <x:c r="M16" s="27" t="n">
        <x:f>IF($E$4="Base",IF(ISNUMBER(M17),M17,"n.a."),IF($E$4="Downside",IF(ISNUMBER(M18),M18,"n.a."),"n.a."))</x:f>
        <x:v>22</x:v>
      </x:c>
      <x:c r="N16" s="27" t="n">
        <x:f>IF($E$4="Base",IF(ISNUMBER(N17),N17,"n.a."),IF($E$4="Downside",IF(ISNUMBER(N18),N18,"n.a."),"n.a."))</x:f>
        <x:v>25</x:v>
      </x:c>
      <x:c r="O16" s="27" t="n">
        <x:f>IF($E$4="Base",IF(ISNUMBER(O17),O17,"n.a."),IF($E$4="Downside",IF(ISNUMBER(O18),O18,"n.a."),"n.a."))</x:f>
        <x:v>28</x:v>
      </x:c>
      <x:c r="P16" s="27" t="n">
        <x:f>IF($E$4="Base",IF(ISNUMBER(P17),P17,"n.a."),IF($E$4="Downside",IF(ISNUMBER(P18),P18,"n.a."),"n.a."))</x:f>
        <x:v>30</x:v>
      </x:c>
      <x:c r="Q16" s="2"/>
      <x:c r="R16" s="2" t="str">
        <x:v>Illustrative acquisition plan. No actual customers or market validation.</x:v>
      </x:c>
    </x:row>
    <x:row r="17" ht="21" customHeight="1">
      <x:c r="A17" s="2"/>
      <x:c r="B17" s="2"/>
      <x:c r="C17" s="2"/>
      <x:c r="D17" s="2" t="str">
        <x:v>Base</x:v>
      </x:c>
      <x:c r="E17" s="12" t="n">
        <x:v>5</x:v>
      </x:c>
      <x:c r="F17" s="12" t="n">
        <x:v>6</x:v>
      </x:c>
      <x:c r="G17" s="12" t="n">
        <x:v>8</x:v>
      </x:c>
      <x:c r="H17" s="12" t="n">
        <x:v>10</x:v>
      </x:c>
      <x:c r="I17" s="12" t="n">
        <x:v>12</x:v>
      </x:c>
      <x:c r="J17" s="12" t="n">
        <x:v>15</x:v>
      </x:c>
      <x:c r="K17" s="12" t="n">
        <x:v>18</x:v>
      </x:c>
      <x:c r="L17" s="12" t="n">
        <x:v>20</x:v>
      </x:c>
      <x:c r="M17" s="12" t="n">
        <x:v>22</x:v>
      </x:c>
      <x:c r="N17" s="12" t="n">
        <x:v>25</x:v>
      </x:c>
      <x:c r="O17" s="12" t="n">
        <x:v>28</x:v>
      </x:c>
      <x:c r="P17" s="12" t="n">
        <x:v>30</x:v>
      </x:c>
      <x:c r="Q17" s="2"/>
      <x:c r="R17" s="2"/>
    </x:row>
    <x:row r="18" ht="21" customHeight="1">
      <x:c r="A18" s="2"/>
      <x:c r="B18" s="2"/>
      <x:c r="C18" s="2"/>
      <x:c r="D18" s="2" t="str">
        <x:v>Downside</x:v>
      </x:c>
      <x:c r="E18" s="12" t="n">
        <x:v>2</x:v>
      </x:c>
      <x:c r="F18" s="12" t="n">
        <x:v>2</x:v>
      </x:c>
      <x:c r="G18" s="12" t="n">
        <x:v>3</x:v>
      </x:c>
      <x:c r="H18" s="12" t="n">
        <x:v>3</x:v>
      </x:c>
      <x:c r="I18" s="12" t="n">
        <x:v>4</x:v>
      </x:c>
      <x:c r="J18" s="12" t="n">
        <x:v>4</x:v>
      </x:c>
      <x:c r="K18" s="12" t="n">
        <x:v>5</x:v>
      </x:c>
      <x:c r="L18" s="12" t="n">
        <x:v>5</x:v>
      </x:c>
      <x:c r="M18" s="12" t="n">
        <x:v>6</x:v>
      </x:c>
      <x:c r="N18" s="12" t="n">
        <x:v>6</x:v>
      </x:c>
      <x:c r="O18" s="12" t="n">
        <x:v>7</x:v>
      </x:c>
      <x:c r="P18" s="12" t="n">
        <x:v>7</x:v>
      </x:c>
      <x:c r="Q18" s="2"/>
      <x:c r="R18" s="2"/>
    </x:row>
    <x:row r="19" ht="21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</x:row>
    <x:row r="20" ht="21" customHeight="1">
      <x:c r="A20" s="2"/>
      <x:c r="B20" s="2"/>
      <x:c r="C20" s="25" t="str">
        <x:v>Monthly team churn</x:v>
      </x:c>
      <x:c r="D20" s="25" t="str">
        <x:v>Active</x:v>
      </x:c>
      <x:c r="E20" s="28" t="n">
        <x:f>IF($E$4="Base",IF(ISNUMBER(E21),E21,"n.a."),IF($E$4="Downside",IF(ISNUMBER(E22),E22,"n.a."),"n.a."))</x:f>
        <x:v>0.03</x:v>
      </x:c>
      <x:c r="F20" s="28" t="n">
        <x:f>IF($E$4="Base",IF(ISNUMBER(F21),F21,"n.a."),IF($E$4="Downside",IF(ISNUMBER(F22),F22,"n.a."),"n.a."))</x:f>
        <x:v>0.03</x:v>
      </x:c>
      <x:c r="G20" s="28" t="n">
        <x:f>IF($E$4="Base",IF(ISNUMBER(G21),G21,"n.a."),IF($E$4="Downside",IF(ISNUMBER(G22),G22,"n.a."),"n.a."))</x:f>
        <x:v>0.03</x:v>
      </x:c>
      <x:c r="H20" s="28" t="n">
        <x:f>IF($E$4="Base",IF(ISNUMBER(H21),H21,"n.a."),IF($E$4="Downside",IF(ISNUMBER(H22),H22,"n.a."),"n.a."))</x:f>
        <x:v>0.03</x:v>
      </x:c>
      <x:c r="I20" s="28" t="n">
        <x:f>IF($E$4="Base",IF(ISNUMBER(I21),I21,"n.a."),IF($E$4="Downside",IF(ISNUMBER(I22),I22,"n.a."),"n.a."))</x:f>
        <x:v>0.03</x:v>
      </x:c>
      <x:c r="J20" s="28" t="n">
        <x:f>IF($E$4="Base",IF(ISNUMBER(J21),J21,"n.a."),IF($E$4="Downside",IF(ISNUMBER(J22),J22,"n.a."),"n.a."))</x:f>
        <x:v>0.03</x:v>
      </x:c>
      <x:c r="K20" s="28" t="n">
        <x:f>IF($E$4="Base",IF(ISNUMBER(K21),K21,"n.a."),IF($E$4="Downside",IF(ISNUMBER(K22),K22,"n.a."),"n.a."))</x:f>
        <x:v>0.03</x:v>
      </x:c>
      <x:c r="L20" s="28" t="n">
        <x:f>IF($E$4="Base",IF(ISNUMBER(L21),L21,"n.a."),IF($E$4="Downside",IF(ISNUMBER(L22),L22,"n.a."),"n.a."))</x:f>
        <x:v>0.03</x:v>
      </x:c>
      <x:c r="M20" s="28" t="n">
        <x:f>IF($E$4="Base",IF(ISNUMBER(M21),M21,"n.a."),IF($E$4="Downside",IF(ISNUMBER(M22),M22,"n.a."),"n.a."))</x:f>
        <x:v>0.03</x:v>
      </x:c>
      <x:c r="N20" s="28" t="n">
        <x:f>IF($E$4="Base",IF(ISNUMBER(N21),N21,"n.a."),IF($E$4="Downside",IF(ISNUMBER(N22),N22,"n.a."),"n.a."))</x:f>
        <x:v>0.03</x:v>
      </x:c>
      <x:c r="O20" s="28" t="n">
        <x:f>IF($E$4="Base",IF(ISNUMBER(O21),O21,"n.a."),IF($E$4="Downside",IF(ISNUMBER(O22),O22,"n.a."),"n.a."))</x:f>
        <x:v>0.03</x:v>
      </x:c>
      <x:c r="P20" s="28" t="n">
        <x:f>IF($E$4="Base",IF(ISNUMBER(P21),P21,"n.a."),IF($E$4="Downside",IF(ISNUMBER(P22),P22,"n.a."),"n.a."))</x:f>
        <x:v>0.03</x:v>
      </x:c>
      <x:c r="Q20" s="2"/>
      <x:c r="R20" s="2" t="str">
        <x:v>Assumed loss rate applied to opening teams; new teams do not churn in their first month.</x:v>
      </x:c>
    </x:row>
    <x:row r="21" ht="21" customHeight="1">
      <x:c r="A21" s="2"/>
      <x:c r="B21" s="2"/>
      <x:c r="C21" s="2"/>
      <x:c r="D21" s="2" t="str">
        <x:v>Base</x:v>
      </x:c>
      <x:c r="E21" s="14" t="n">
        <x:v>0.03</x:v>
      </x:c>
      <x:c r="F21" s="14" t="n">
        <x:v>0.03</x:v>
      </x:c>
      <x:c r="G21" s="14" t="n">
        <x:v>0.03</x:v>
      </x:c>
      <x:c r="H21" s="14" t="n">
        <x:v>0.03</x:v>
      </x:c>
      <x:c r="I21" s="14" t="n">
        <x:v>0.03</x:v>
      </x:c>
      <x:c r="J21" s="14" t="n">
        <x:v>0.03</x:v>
      </x:c>
      <x:c r="K21" s="14" t="n">
        <x:v>0.03</x:v>
      </x:c>
      <x:c r="L21" s="14" t="n">
        <x:v>0.03</x:v>
      </x:c>
      <x:c r="M21" s="14" t="n">
        <x:v>0.03</x:v>
      </x:c>
      <x:c r="N21" s="14" t="n">
        <x:v>0.03</x:v>
      </x:c>
      <x:c r="O21" s="14" t="n">
        <x:v>0.03</x:v>
      </x:c>
      <x:c r="P21" s="14" t="n">
        <x:v>0.03</x:v>
      </x:c>
      <x:c r="Q21" s="2"/>
      <x:c r="R21" s="2"/>
    </x:row>
    <x:row r="22" ht="21" customHeight="1">
      <x:c r="A22" s="2"/>
      <x:c r="B22" s="2"/>
      <x:c r="C22" s="2"/>
      <x:c r="D22" s="2" t="str">
        <x:v>Downside</x:v>
      </x:c>
      <x:c r="E22" s="14" t="n">
        <x:v>0.08</x:v>
      </x:c>
      <x:c r="F22" s="14" t="n">
        <x:v>0.08</x:v>
      </x:c>
      <x:c r="G22" s="14" t="n">
        <x:v>0.08</x:v>
      </x:c>
      <x:c r="H22" s="14" t="n">
        <x:v>0.08</x:v>
      </x:c>
      <x:c r="I22" s="14" t="n">
        <x:v>0.08</x:v>
      </x:c>
      <x:c r="J22" s="14" t="n">
        <x:v>0.08</x:v>
      </x:c>
      <x:c r="K22" s="14" t="n">
        <x:v>0.08</x:v>
      </x:c>
      <x:c r="L22" s="14" t="n">
        <x:v>0.08</x:v>
      </x:c>
      <x:c r="M22" s="14" t="n">
        <x:v>0.08</x:v>
      </x:c>
      <x:c r="N22" s="14" t="n">
        <x:v>0.08</x:v>
      </x:c>
      <x:c r="O22" s="14" t="n">
        <x:v>0.08</x:v>
      </x:c>
      <x:c r="P22" s="14" t="n">
        <x:v>0.08</x:v>
      </x:c>
      <x:c r="Q22" s="2"/>
      <x:c r="R22" s="2"/>
    </x:row>
    <x:row r="23" ht="21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</x:row>
    <x:row r="24" ht="21" customHeight="1">
      <x:c r="A24" s="2"/>
      <x:c r="B24" s="2"/>
      <x:c r="C24" s="25" t="str">
        <x:v>Price per team (USD)</x:v>
      </x:c>
      <x:c r="D24" s="25" t="str">
        <x:v>Active</x:v>
      </x:c>
      <x:c r="E24" s="29" t="n">
        <x:f>IF($E$4="Base",IF(ISNUMBER(E25),E25,"n.a."),IF($E$4="Downside",IF(ISNUMBER(E26),E26,"n.a."),"n.a."))</x:f>
        <x:v>49</x:v>
      </x:c>
      <x:c r="F24" s="29" t="n">
        <x:f>IF($E$4="Base",IF(ISNUMBER(F25),F25,"n.a."),IF($E$4="Downside",IF(ISNUMBER(F26),F26,"n.a."),"n.a."))</x:f>
        <x:v>49</x:v>
      </x:c>
      <x:c r="G24" s="29" t="n">
        <x:f>IF($E$4="Base",IF(ISNUMBER(G25),G25,"n.a."),IF($E$4="Downside",IF(ISNUMBER(G26),G26,"n.a."),"n.a."))</x:f>
        <x:v>49</x:v>
      </x:c>
      <x:c r="H24" s="29" t="n">
        <x:f>IF($E$4="Base",IF(ISNUMBER(H25),H25,"n.a."),IF($E$4="Downside",IF(ISNUMBER(H26),H26,"n.a."),"n.a."))</x:f>
        <x:v>49</x:v>
      </x:c>
      <x:c r="I24" s="29" t="n">
        <x:f>IF($E$4="Base",IF(ISNUMBER(I25),I25,"n.a."),IF($E$4="Downside",IF(ISNUMBER(I26),I26,"n.a."),"n.a."))</x:f>
        <x:v>49</x:v>
      </x:c>
      <x:c r="J24" s="29" t="n">
        <x:f>IF($E$4="Base",IF(ISNUMBER(J25),J25,"n.a."),IF($E$4="Downside",IF(ISNUMBER(J26),J26,"n.a."),"n.a."))</x:f>
        <x:v>49</x:v>
      </x:c>
      <x:c r="K24" s="29" t="n">
        <x:f>IF($E$4="Base",IF(ISNUMBER(K25),K25,"n.a."),IF($E$4="Downside",IF(ISNUMBER(K26),K26,"n.a."),"n.a."))</x:f>
        <x:v>49</x:v>
      </x:c>
      <x:c r="L24" s="29" t="n">
        <x:f>IF($E$4="Base",IF(ISNUMBER(L25),L25,"n.a."),IF($E$4="Downside",IF(ISNUMBER(L26),L26,"n.a."),"n.a."))</x:f>
        <x:v>49</x:v>
      </x:c>
      <x:c r="M24" s="29" t="n">
        <x:f>IF($E$4="Base",IF(ISNUMBER(M25),M25,"n.a."),IF($E$4="Downside",IF(ISNUMBER(M26),M26,"n.a."),"n.a."))</x:f>
        <x:v>49</x:v>
      </x:c>
      <x:c r="N24" s="29" t="n">
        <x:f>IF($E$4="Base",IF(ISNUMBER(N25),N25,"n.a."),IF($E$4="Downside",IF(ISNUMBER(N26),N26,"n.a."),"n.a."))</x:f>
        <x:v>49</x:v>
      </x:c>
      <x:c r="O24" s="29" t="n">
        <x:f>IF($E$4="Base",IF(ISNUMBER(O25),O25,"n.a."),IF($E$4="Downside",IF(ISNUMBER(O26),O26,"n.a."),"n.a."))</x:f>
        <x:v>49</x:v>
      </x:c>
      <x:c r="P24" s="29" t="n">
        <x:f>IF($E$4="Base",IF(ISNUMBER(P25),P25,"n.a."),IF($E$4="Downside",IF(ISNUMBER(P26),P26,"n.a."),"n.a."))</x:f>
        <x:v>49</x:v>
      </x:c>
      <x:c r="Q24" s="2"/>
      <x:c r="R24" s="2" t="str">
        <x:v>plan.md section 9: initial pricing hypothesis, not validated willingness to pay.</x:v>
      </x:c>
    </x:row>
    <x:row r="25" ht="21" customHeight="1">
      <x:c r="A25" s="2"/>
      <x:c r="B25" s="2"/>
      <x:c r="C25" s="2"/>
      <x:c r="D25" s="2" t="str">
        <x:v>Base</x:v>
      </x:c>
      <x:c r="E25" s="13" t="n">
        <x:v>49</x:v>
      </x:c>
      <x:c r="F25" s="13" t="n">
        <x:v>49</x:v>
      </x:c>
      <x:c r="G25" s="13" t="n">
        <x:v>49</x:v>
      </x:c>
      <x:c r="H25" s="13" t="n">
        <x:v>49</x:v>
      </x:c>
      <x:c r="I25" s="13" t="n">
        <x:v>49</x:v>
      </x:c>
      <x:c r="J25" s="13" t="n">
        <x:v>49</x:v>
      </x:c>
      <x:c r="K25" s="13" t="n">
        <x:v>49</x:v>
      </x:c>
      <x:c r="L25" s="13" t="n">
        <x:v>49</x:v>
      </x:c>
      <x:c r="M25" s="13" t="n">
        <x:v>49</x:v>
      </x:c>
      <x:c r="N25" s="13" t="n">
        <x:v>49</x:v>
      </x:c>
      <x:c r="O25" s="13" t="n">
        <x:v>49</x:v>
      </x:c>
      <x:c r="P25" s="13" t="n">
        <x:v>49</x:v>
      </x:c>
      <x:c r="Q25" s="2"/>
      <x:c r="R25" s="2"/>
    </x:row>
    <x:row r="26" ht="21" customHeight="1">
      <x:c r="A26" s="2"/>
      <x:c r="B26" s="2"/>
      <x:c r="C26" s="2"/>
      <x:c r="D26" s="2" t="str">
        <x:v>Downside</x:v>
      </x:c>
      <x:c r="E26" s="13" t="n">
        <x:v>49</x:v>
      </x:c>
      <x:c r="F26" s="13" t="n">
        <x:v>49</x:v>
      </x:c>
      <x:c r="G26" s="13" t="n">
        <x:v>49</x:v>
      </x:c>
      <x:c r="H26" s="13" t="n">
        <x:v>49</x:v>
      </x:c>
      <x:c r="I26" s="13" t="n">
        <x:v>49</x:v>
      </x:c>
      <x:c r="J26" s="13" t="n">
        <x:v>49</x:v>
      </x:c>
      <x:c r="K26" s="13" t="n">
        <x:v>49</x:v>
      </x:c>
      <x:c r="L26" s="13" t="n">
        <x:v>49</x:v>
      </x:c>
      <x:c r="M26" s="13" t="n">
        <x:v>49</x:v>
      </x:c>
      <x:c r="N26" s="13" t="n">
        <x:v>49</x:v>
      </x:c>
      <x:c r="O26" s="13" t="n">
        <x:v>49</x:v>
      </x:c>
      <x:c r="P26" s="13" t="n">
        <x:v>49</x:v>
      </x:c>
      <x:c r="Q26" s="2"/>
      <x:c r="R26" s="2"/>
    </x:row>
    <x:row r="27" ht="21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</x:row>
    <x:row r="28" ht="21" customHeight="1">
      <x:c r="A28" s="2"/>
      <x:c r="B28" s="2"/>
      <x:c r="C28" s="25" t="str">
        <x:v>Included runs per team</x:v>
      </x:c>
      <x:c r="D28" s="25" t="str">
        <x:v>Active</x:v>
      </x:c>
      <x:c r="E28" s="30" t="n">
        <x:f>IF($E$4="Base",IF(ISNUMBER(E29),E29,"n.a."),IF($E$4="Downside",IF(ISNUMBER(E30),E30,"n.a."),"n.a."))</x:f>
        <x:v>100</x:v>
      </x:c>
      <x:c r="F28" s="30" t="n">
        <x:f>IF($E$4="Base",IF(ISNUMBER(F29),F29,"n.a."),IF($E$4="Downside",IF(ISNUMBER(F30),F30,"n.a."),"n.a."))</x:f>
        <x:v>100</x:v>
      </x:c>
      <x:c r="G28" s="30" t="n">
        <x:f>IF($E$4="Base",IF(ISNUMBER(G29),G29,"n.a."),IF($E$4="Downside",IF(ISNUMBER(G30),G30,"n.a."),"n.a."))</x:f>
        <x:v>100</x:v>
      </x:c>
      <x:c r="H28" s="30" t="n">
        <x:f>IF($E$4="Base",IF(ISNUMBER(H29),H29,"n.a."),IF($E$4="Downside",IF(ISNUMBER(H30),H30,"n.a."),"n.a."))</x:f>
        <x:v>100</x:v>
      </x:c>
      <x:c r="I28" s="30" t="n">
        <x:f>IF($E$4="Base",IF(ISNUMBER(I29),I29,"n.a."),IF($E$4="Downside",IF(ISNUMBER(I30),I30,"n.a."),"n.a."))</x:f>
        <x:v>100</x:v>
      </x:c>
      <x:c r="J28" s="30" t="n">
        <x:f>IF($E$4="Base",IF(ISNUMBER(J29),J29,"n.a."),IF($E$4="Downside",IF(ISNUMBER(J30),J30,"n.a."),"n.a."))</x:f>
        <x:v>100</x:v>
      </x:c>
      <x:c r="K28" s="30" t="n">
        <x:f>IF($E$4="Base",IF(ISNUMBER(K29),K29,"n.a."),IF($E$4="Downside",IF(ISNUMBER(K30),K30,"n.a."),"n.a."))</x:f>
        <x:v>100</x:v>
      </x:c>
      <x:c r="L28" s="30" t="n">
        <x:f>IF($E$4="Base",IF(ISNUMBER(L29),L29,"n.a."),IF($E$4="Downside",IF(ISNUMBER(L30),L30,"n.a."),"n.a."))</x:f>
        <x:v>100</x:v>
      </x:c>
      <x:c r="M28" s="30" t="n">
        <x:f>IF($E$4="Base",IF(ISNUMBER(M29),M29,"n.a."),IF($E$4="Downside",IF(ISNUMBER(M30),M30,"n.a."),"n.a."))</x:f>
        <x:v>100</x:v>
      </x:c>
      <x:c r="N28" s="30" t="n">
        <x:f>IF($E$4="Base",IF(ISNUMBER(N29),N29,"n.a."),IF($E$4="Downside",IF(ISNUMBER(N30),N30,"n.a."),"n.a."))</x:f>
        <x:v>100</x:v>
      </x:c>
      <x:c r="O28" s="30" t="n">
        <x:f>IF($E$4="Base",IF(ISNUMBER(O29),O29,"n.a."),IF($E$4="Downside",IF(ISNUMBER(O30),O30,"n.a."),"n.a."))</x:f>
        <x:v>100</x:v>
      </x:c>
      <x:c r="P28" s="30" t="n">
        <x:f>IF($E$4="Base",IF(ISNUMBER(P29),P29,"n.a."),IF($E$4="Downside",IF(ISNUMBER(P30),P30,"n.a."),"n.a."))</x:f>
        <x:v>100</x:v>
      </x:c>
      <x:c r="Q28" s="2"/>
      <x:c r="R28" s="2" t="str">
        <x:v>plan.md section 9. All user investigations count, including unsuccessful attempts.</x:v>
      </x:c>
    </x:row>
    <x:row r="29" ht="21" customHeight="1">
      <x:c r="A29" s="2"/>
      <x:c r="B29" s="2"/>
      <x:c r="C29" s="2"/>
      <x:c r="D29" s="2" t="str">
        <x:v>Base</x:v>
      </x:c>
      <x:c r="E29" s="31" t="n">
        <x:v>100</x:v>
      </x:c>
      <x:c r="F29" s="31" t="n">
        <x:v>100</x:v>
      </x:c>
      <x:c r="G29" s="31" t="n">
        <x:v>100</x:v>
      </x:c>
      <x:c r="H29" s="31" t="n">
        <x:v>100</x:v>
      </x:c>
      <x:c r="I29" s="31" t="n">
        <x:v>100</x:v>
      </x:c>
      <x:c r="J29" s="31" t="n">
        <x:v>100</x:v>
      </x:c>
      <x:c r="K29" s="31" t="n">
        <x:v>100</x:v>
      </x:c>
      <x:c r="L29" s="31" t="n">
        <x:v>100</x:v>
      </x:c>
      <x:c r="M29" s="31" t="n">
        <x:v>100</x:v>
      </x:c>
      <x:c r="N29" s="31" t="n">
        <x:v>100</x:v>
      </x:c>
      <x:c r="O29" s="31" t="n">
        <x:v>100</x:v>
      </x:c>
      <x:c r="P29" s="31" t="n">
        <x:v>100</x:v>
      </x:c>
      <x:c r="Q29" s="2"/>
      <x:c r="R29" s="2"/>
    </x:row>
    <x:row r="30" ht="21" customHeight="1">
      <x:c r="A30" s="2"/>
      <x:c r="B30" s="2"/>
      <x:c r="C30" s="2"/>
      <x:c r="D30" s="2" t="str">
        <x:v>Downside</x:v>
      </x:c>
      <x:c r="E30" s="31" t="n">
        <x:v>100</x:v>
      </x:c>
      <x:c r="F30" s="31" t="n">
        <x:v>100</x:v>
      </x:c>
      <x:c r="G30" s="31" t="n">
        <x:v>100</x:v>
      </x:c>
      <x:c r="H30" s="31" t="n">
        <x:v>100</x:v>
      </x:c>
      <x:c r="I30" s="31" t="n">
        <x:v>100</x:v>
      </x:c>
      <x:c r="J30" s="31" t="n">
        <x:v>100</x:v>
      </x:c>
      <x:c r="K30" s="31" t="n">
        <x:v>100</x:v>
      </x:c>
      <x:c r="L30" s="31" t="n">
        <x:v>100</x:v>
      </x:c>
      <x:c r="M30" s="31" t="n">
        <x:v>100</x:v>
      </x:c>
      <x:c r="N30" s="31" t="n">
        <x:v>100</x:v>
      </x:c>
      <x:c r="O30" s="31" t="n">
        <x:v>100</x:v>
      </x:c>
      <x:c r="P30" s="31" t="n">
        <x:v>100</x:v>
      </x:c>
      <x:c r="Q30" s="2"/>
      <x:c r="R30" s="2"/>
    </x:row>
    <x:row r="31" ht="21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</x:row>
    <x:row r="32" ht="21" customHeight="1">
      <x:c r="A32" s="2"/>
      <x:c r="B32" s="2"/>
      <x:c r="C32" s="25" t="str">
        <x:v>Allowance utilization</x:v>
      </x:c>
      <x:c r="D32" s="25" t="str">
        <x:v>Active</x:v>
      </x:c>
      <x:c r="E32" s="28" t="n">
        <x:f>IF($E$4="Base",IF(ISNUMBER(E33),E33,"n.a."),IF($E$4="Downside",IF(ISNUMBER(E34),E34,"n.a."),"n.a."))</x:f>
        <x:v>0.6</x:v>
      </x:c>
      <x:c r="F32" s="28" t="n">
        <x:f>IF($E$4="Base",IF(ISNUMBER(F33),F33,"n.a."),IF($E$4="Downside",IF(ISNUMBER(F34),F34,"n.a."),"n.a."))</x:f>
        <x:v>0.6</x:v>
      </x:c>
      <x:c r="G32" s="28" t="n">
        <x:f>IF($E$4="Base",IF(ISNUMBER(G33),G33,"n.a."),IF($E$4="Downside",IF(ISNUMBER(G34),G34,"n.a."),"n.a."))</x:f>
        <x:v>0.6</x:v>
      </x:c>
      <x:c r="H32" s="28" t="n">
        <x:f>IF($E$4="Base",IF(ISNUMBER(H33),H33,"n.a."),IF($E$4="Downside",IF(ISNUMBER(H34),H34,"n.a."),"n.a."))</x:f>
        <x:v>0.6</x:v>
      </x:c>
      <x:c r="I32" s="28" t="n">
        <x:f>IF($E$4="Base",IF(ISNUMBER(I33),I33,"n.a."),IF($E$4="Downside",IF(ISNUMBER(I34),I34,"n.a."),"n.a."))</x:f>
        <x:v>0.6</x:v>
      </x:c>
      <x:c r="J32" s="28" t="n">
        <x:f>IF($E$4="Base",IF(ISNUMBER(J33),J33,"n.a."),IF($E$4="Downside",IF(ISNUMBER(J34),J34,"n.a."),"n.a."))</x:f>
        <x:v>0.6</x:v>
      </x:c>
      <x:c r="K32" s="28" t="n">
        <x:f>IF($E$4="Base",IF(ISNUMBER(K33),K33,"n.a."),IF($E$4="Downside",IF(ISNUMBER(K34),K34,"n.a."),"n.a."))</x:f>
        <x:v>0.6</x:v>
      </x:c>
      <x:c r="L32" s="28" t="n">
        <x:f>IF($E$4="Base",IF(ISNUMBER(L33),L33,"n.a."),IF($E$4="Downside",IF(ISNUMBER(L34),L34,"n.a."),"n.a."))</x:f>
        <x:v>0.6</x:v>
      </x:c>
      <x:c r="M32" s="28" t="n">
        <x:f>IF($E$4="Base",IF(ISNUMBER(M33),M33,"n.a."),IF($E$4="Downside",IF(ISNUMBER(M34),M34,"n.a."),"n.a."))</x:f>
        <x:v>0.6</x:v>
      </x:c>
      <x:c r="N32" s="28" t="n">
        <x:f>IF($E$4="Base",IF(ISNUMBER(N33),N33,"n.a."),IF($E$4="Downside",IF(ISNUMBER(N34),N34,"n.a."),"n.a."))</x:f>
        <x:v>0.6</x:v>
      </x:c>
      <x:c r="O32" s="28" t="n">
        <x:f>IF($E$4="Base",IF(ISNUMBER(O33),O33,"n.a."),IF($E$4="Downside",IF(ISNUMBER(O34),O34,"n.a."),"n.a."))</x:f>
        <x:v>0.6</x:v>
      </x:c>
      <x:c r="P32" s="28" t="n">
        <x:f>IF($E$4="Base",IF(ISNUMBER(P33),P33,"n.a."),IF($E$4="Downside",IF(ISNUMBER(P34),P34,"n.a."),"n.a."))</x:f>
        <x:v>0.6</x:v>
      </x:c>
      <x:c r="Q32" s="2"/>
      <x:c r="R32" s="2" t="str">
        <x:v>Assumed total run usage divided by allowance; retries inside one run are included in run cost.</x:v>
      </x:c>
    </x:row>
    <x:row r="33" ht="21" customHeight="1">
      <x:c r="A33" s="2"/>
      <x:c r="B33" s="2"/>
      <x:c r="C33" s="2"/>
      <x:c r="D33" s="2" t="str">
        <x:v>Base</x:v>
      </x:c>
      <x:c r="E33" s="14" t="n">
        <x:v>0.6</x:v>
      </x:c>
      <x:c r="F33" s="14" t="n">
        <x:v>0.6</x:v>
      </x:c>
      <x:c r="G33" s="14" t="n">
        <x:v>0.6</x:v>
      </x:c>
      <x:c r="H33" s="14" t="n">
        <x:v>0.6</x:v>
      </x:c>
      <x:c r="I33" s="14" t="n">
        <x:v>0.6</x:v>
      </x:c>
      <x:c r="J33" s="14" t="n">
        <x:v>0.6</x:v>
      </x:c>
      <x:c r="K33" s="14" t="n">
        <x:v>0.6</x:v>
      </x:c>
      <x:c r="L33" s="14" t="n">
        <x:v>0.6</x:v>
      </x:c>
      <x:c r="M33" s="14" t="n">
        <x:v>0.6</x:v>
      </x:c>
      <x:c r="N33" s="14" t="n">
        <x:v>0.6</x:v>
      </x:c>
      <x:c r="O33" s="14" t="n">
        <x:v>0.6</x:v>
      </x:c>
      <x:c r="P33" s="14" t="n">
        <x:v>0.6</x:v>
      </x:c>
      <x:c r="Q33" s="2"/>
      <x:c r="R33" s="2"/>
    </x:row>
    <x:row r="34" ht="21" customHeight="1">
      <x:c r="A34" s="2"/>
      <x:c r="B34" s="2"/>
      <x:c r="C34" s="2"/>
      <x:c r="D34" s="2" t="str">
        <x:v>Downside</x:v>
      </x:c>
      <x:c r="E34" s="14" t="n">
        <x:v>1</x:v>
      </x:c>
      <x:c r="F34" s="14" t="n">
        <x:v>1</x:v>
      </x:c>
      <x:c r="G34" s="14" t="n">
        <x:v>1</x:v>
      </x:c>
      <x:c r="H34" s="14" t="n">
        <x:v>1</x:v>
      </x:c>
      <x:c r="I34" s="14" t="n">
        <x:v>1</x:v>
      </x:c>
      <x:c r="J34" s="14" t="n">
        <x:v>1</x:v>
      </x:c>
      <x:c r="K34" s="14" t="n">
        <x:v>1</x:v>
      </x:c>
      <x:c r="L34" s="14" t="n">
        <x:v>1</x:v>
      </x:c>
      <x:c r="M34" s="14" t="n">
        <x:v>1</x:v>
      </x:c>
      <x:c r="N34" s="14" t="n">
        <x:v>1</x:v>
      </x:c>
      <x:c r="O34" s="14" t="n">
        <x:v>1</x:v>
      </x:c>
      <x:c r="P34" s="14" t="n">
        <x:v>1</x:v>
      </x:c>
      <x:c r="Q34" s="2"/>
      <x:c r="R34" s="2"/>
    </x:row>
    <x:row r="35" ht="21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</x:row>
    <x:row r="36" ht="21" customHeight="1">
      <x:c r="A36" s="2"/>
      <x:c r="B36" s="2"/>
      <x:c r="C36" s="25" t="str">
        <x:v>Inference cost per run (USD)</x:v>
      </x:c>
      <x:c r="D36" s="25" t="str">
        <x:v>Active</x:v>
      </x:c>
      <x:c r="E36" s="34" t="n">
        <x:f>IF($E$8="Measured",'Measured usage'!$E$7,IF($E$8="Planning",IF($E$4="Base",IF(ISNUMBER(E37),E37,"n.a."),IF($E$4="Downside",IF(ISNUMBER(E38),E38,"n.a."),"n.a.")),"n.a."))</x:f>
        <x:v>0.06</x:v>
      </x:c>
      <x:c r="F36" s="34" t="n">
        <x:f>IF($E$8="Measured",'Measured usage'!$E$7,IF($E$8="Planning",IF($E$4="Base",IF(ISNUMBER(F37),F37,"n.a."),IF($E$4="Downside",IF(ISNUMBER(F38),F38,"n.a."),"n.a.")),"n.a."))</x:f>
        <x:v>0.06</x:v>
      </x:c>
      <x:c r="G36" s="34" t="n">
        <x:f>IF($E$8="Measured",'Measured usage'!$E$7,IF($E$8="Planning",IF($E$4="Base",IF(ISNUMBER(G37),G37,"n.a."),IF($E$4="Downside",IF(ISNUMBER(G38),G38,"n.a."),"n.a.")),"n.a."))</x:f>
        <x:v>0.06</x:v>
      </x:c>
      <x:c r="H36" s="34" t="n">
        <x:f>IF($E$8="Measured",'Measured usage'!$E$7,IF($E$8="Planning",IF($E$4="Base",IF(ISNUMBER(H37),H37,"n.a."),IF($E$4="Downside",IF(ISNUMBER(H38),H38,"n.a."),"n.a.")),"n.a."))</x:f>
        <x:v>0.06</x:v>
      </x:c>
      <x:c r="I36" s="34" t="n">
        <x:f>IF($E$8="Measured",'Measured usage'!$E$7,IF($E$8="Planning",IF($E$4="Base",IF(ISNUMBER(I37),I37,"n.a."),IF($E$4="Downside",IF(ISNUMBER(I38),I38,"n.a."),"n.a.")),"n.a."))</x:f>
        <x:v>0.06</x:v>
      </x:c>
      <x:c r="J36" s="34" t="n">
        <x:f>IF($E$8="Measured",'Measured usage'!$E$7,IF($E$8="Planning",IF($E$4="Base",IF(ISNUMBER(J37),J37,"n.a."),IF($E$4="Downside",IF(ISNUMBER(J38),J38,"n.a."),"n.a.")),"n.a."))</x:f>
        <x:v>0.06</x:v>
      </x:c>
      <x:c r="K36" s="34" t="n">
        <x:f>IF($E$8="Measured",'Measured usage'!$E$7,IF($E$8="Planning",IF($E$4="Base",IF(ISNUMBER(K37),K37,"n.a."),IF($E$4="Downside",IF(ISNUMBER(K38),K38,"n.a."),"n.a.")),"n.a."))</x:f>
        <x:v>0.06</x:v>
      </x:c>
      <x:c r="L36" s="34" t="n">
        <x:f>IF($E$8="Measured",'Measured usage'!$E$7,IF($E$8="Planning",IF($E$4="Base",IF(ISNUMBER(L37),L37,"n.a."),IF($E$4="Downside",IF(ISNUMBER(L38),L38,"n.a."),"n.a.")),"n.a."))</x:f>
        <x:v>0.06</x:v>
      </x:c>
      <x:c r="M36" s="34" t="n">
        <x:f>IF($E$8="Measured",'Measured usage'!$E$7,IF($E$8="Planning",IF($E$4="Base",IF(ISNUMBER(M37),M37,"n.a."),IF($E$4="Downside",IF(ISNUMBER(M38),M38,"n.a."),"n.a.")),"n.a."))</x:f>
        <x:v>0.06</x:v>
      </x:c>
      <x:c r="N36" s="34" t="n">
        <x:f>IF($E$8="Measured",'Measured usage'!$E$7,IF($E$8="Planning",IF($E$4="Base",IF(ISNUMBER(N37),N37,"n.a."),IF($E$4="Downside",IF(ISNUMBER(N38),N38,"n.a."),"n.a.")),"n.a."))</x:f>
        <x:v>0.06</x:v>
      </x:c>
      <x:c r="O36" s="34" t="n">
        <x:f>IF($E$8="Measured",'Measured usage'!$E$7,IF($E$8="Planning",IF($E$4="Base",IF(ISNUMBER(O37),O37,"n.a."),IF($E$4="Downside",IF(ISNUMBER(O38),O38,"n.a."),"n.a.")),"n.a."))</x:f>
        <x:v>0.06</x:v>
      </x:c>
      <x:c r="P36" s="34" t="n">
        <x:f>IF($E$8="Measured",'Measured usage'!$E$7,IF($E$8="Planning",IF($E$4="Base",IF(ISNUMBER(P37),P37,"n.a."),IF($E$4="Downside",IF(ISNUMBER(P38),P38,"n.a."),"n.a.")),"n.a."))</x:f>
        <x:v>0.06</x:v>
      </x:c>
      <x:c r="Q36" s="2"/>
      <x:c r="R36" s="2" t="str">
        <x:v>Illustrative all-calls cost, not a quoted provider price. Measured mode replaces this active row.</x:v>
      </x:c>
    </x:row>
    <x:row r="37" ht="21" customHeight="1">
      <x:c r="A37" s="2"/>
      <x:c r="B37" s="2"/>
      <x:c r="C37" s="2"/>
      <x:c r="D37" s="2" t="str">
        <x:v>Base</x:v>
      </x:c>
      <x:c r="E37" s="35" t="n">
        <x:v>0.06</x:v>
      </x:c>
      <x:c r="F37" s="35" t="n">
        <x:v>0.06</x:v>
      </x:c>
      <x:c r="G37" s="35" t="n">
        <x:v>0.06</x:v>
      </x:c>
      <x:c r="H37" s="35" t="n">
        <x:v>0.06</x:v>
      </x:c>
      <x:c r="I37" s="35" t="n">
        <x:v>0.06</x:v>
      </x:c>
      <x:c r="J37" s="35" t="n">
        <x:v>0.06</x:v>
      </x:c>
      <x:c r="K37" s="35" t="n">
        <x:v>0.06</x:v>
      </x:c>
      <x:c r="L37" s="35" t="n">
        <x:v>0.06</x:v>
      </x:c>
      <x:c r="M37" s="35" t="n">
        <x:v>0.06</x:v>
      </x:c>
      <x:c r="N37" s="35" t="n">
        <x:v>0.06</x:v>
      </x:c>
      <x:c r="O37" s="35" t="n">
        <x:v>0.06</x:v>
      </x:c>
      <x:c r="P37" s="35" t="n">
        <x:v>0.06</x:v>
      </x:c>
      <x:c r="Q37" s="2"/>
      <x:c r="R37" s="2"/>
    </x:row>
    <x:row r="38" ht="21" customHeight="1">
      <x:c r="A38" s="2"/>
      <x:c r="B38" s="2"/>
      <x:c r="C38" s="2"/>
      <x:c r="D38" s="2" t="str">
        <x:v>Downside</x:v>
      </x:c>
      <x:c r="E38" s="35" t="n">
        <x:v>0.25</x:v>
      </x:c>
      <x:c r="F38" s="35" t="n">
        <x:v>0.25</x:v>
      </x:c>
      <x:c r="G38" s="35" t="n">
        <x:v>0.25</x:v>
      </x:c>
      <x:c r="H38" s="35" t="n">
        <x:v>0.25</x:v>
      </x:c>
      <x:c r="I38" s="35" t="n">
        <x:v>0.25</x:v>
      </x:c>
      <x:c r="J38" s="35" t="n">
        <x:v>0.25</x:v>
      </x:c>
      <x:c r="K38" s="35" t="n">
        <x:v>0.25</x:v>
      </x:c>
      <x:c r="L38" s="35" t="n">
        <x:v>0.25</x:v>
      </x:c>
      <x:c r="M38" s="35" t="n">
        <x:v>0.25</x:v>
      </x:c>
      <x:c r="N38" s="35" t="n">
        <x:v>0.25</x:v>
      </x:c>
      <x:c r="O38" s="35" t="n">
        <x:v>0.25</x:v>
      </x:c>
      <x:c r="P38" s="35" t="n">
        <x:v>0.25</x:v>
      </x:c>
      <x:c r="Q38" s="2"/>
      <x:c r="R38" s="2"/>
    </x:row>
    <x:row r="39" ht="21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</x:row>
    <x:row r="40" ht="21" customHeight="1">
      <x:c r="A40" s="2"/>
      <x:c r="B40" s="2"/>
      <x:c r="C40" s="25" t="str">
        <x:v>Browser cost per run (USD)</x:v>
      </x:c>
      <x:c r="D40" s="25" t="str">
        <x:v>Active</x:v>
      </x:c>
      <x:c r="E40" s="36" t="n">
        <x:f>IF($E$4="Base",IF(ISNUMBER(E41),E41,"n.a."),IF($E$4="Downside",IF(ISNUMBER(E42),E42,"n.a."),"n.a."))</x:f>
        <x:v>0.015</x:v>
      </x:c>
      <x:c r="F40" s="36" t="n">
        <x:f>IF($E$4="Base",IF(ISNUMBER(F41),F41,"n.a."),IF($E$4="Downside",IF(ISNUMBER(F42),F42,"n.a."),"n.a."))</x:f>
        <x:v>0.015</x:v>
      </x:c>
      <x:c r="G40" s="36" t="n">
        <x:f>IF($E$4="Base",IF(ISNUMBER(G41),G41,"n.a."),IF($E$4="Downside",IF(ISNUMBER(G42),G42,"n.a."),"n.a."))</x:f>
        <x:v>0.015</x:v>
      </x:c>
      <x:c r="H40" s="36" t="n">
        <x:f>IF($E$4="Base",IF(ISNUMBER(H41),H41,"n.a."),IF($E$4="Downside",IF(ISNUMBER(H42),H42,"n.a."),"n.a."))</x:f>
        <x:v>0.015</x:v>
      </x:c>
      <x:c r="I40" s="36" t="n">
        <x:f>IF($E$4="Base",IF(ISNUMBER(I41),I41,"n.a."),IF($E$4="Downside",IF(ISNUMBER(I42),I42,"n.a."),"n.a."))</x:f>
        <x:v>0.015</x:v>
      </x:c>
      <x:c r="J40" s="36" t="n">
        <x:f>IF($E$4="Base",IF(ISNUMBER(J41),J41,"n.a."),IF($E$4="Downside",IF(ISNUMBER(J42),J42,"n.a."),"n.a."))</x:f>
        <x:v>0.015</x:v>
      </x:c>
      <x:c r="K40" s="36" t="n">
        <x:f>IF($E$4="Base",IF(ISNUMBER(K41),K41,"n.a."),IF($E$4="Downside",IF(ISNUMBER(K42),K42,"n.a."),"n.a."))</x:f>
        <x:v>0.015</x:v>
      </x:c>
      <x:c r="L40" s="36" t="n">
        <x:f>IF($E$4="Base",IF(ISNUMBER(L41),L41,"n.a."),IF($E$4="Downside",IF(ISNUMBER(L42),L42,"n.a."),"n.a."))</x:f>
        <x:v>0.015</x:v>
      </x:c>
      <x:c r="M40" s="36" t="n">
        <x:f>IF($E$4="Base",IF(ISNUMBER(M41),M41,"n.a."),IF($E$4="Downside",IF(ISNUMBER(M42),M42,"n.a."),"n.a."))</x:f>
        <x:v>0.015</x:v>
      </x:c>
      <x:c r="N40" s="36" t="n">
        <x:f>IF($E$4="Base",IF(ISNUMBER(N41),N41,"n.a."),IF($E$4="Downside",IF(ISNUMBER(N42),N42,"n.a."),"n.a."))</x:f>
        <x:v>0.015</x:v>
      </x:c>
      <x:c r="O40" s="36" t="n">
        <x:f>IF($E$4="Base",IF(ISNUMBER(O41),O41,"n.a."),IF($E$4="Downside",IF(ISNUMBER(O42),O42,"n.a."),"n.a."))</x:f>
        <x:v>0.015</x:v>
      </x:c>
      <x:c r="P40" s="36" t="n">
        <x:f>IF($E$4="Base",IF(ISNUMBER(P41),P41,"n.a."),IF($E$4="Downside",IF(ISNUMBER(P42),P42,"n.a."),"n.a."))</x:f>
        <x:v>0.015</x:v>
      </x:c>
      <x:c r="Q40" s="2"/>
      <x:c r="R40" s="2" t="str">
        <x:v>Illustrative hosted compute, including investigation and independent verification.</x:v>
      </x:c>
    </x:row>
    <x:row r="41" ht="21" customHeight="1">
      <x:c r="A41" s="2"/>
      <x:c r="B41" s="2"/>
      <x:c r="C41" s="2"/>
      <x:c r="D41" s="2" t="str">
        <x:v>Base</x:v>
      </x:c>
      <x:c r="E41" s="35" t="n">
        <x:v>0.015</x:v>
      </x:c>
      <x:c r="F41" s="35" t="n">
        <x:v>0.015</x:v>
      </x:c>
      <x:c r="G41" s="35" t="n">
        <x:v>0.015</x:v>
      </x:c>
      <x:c r="H41" s="35" t="n">
        <x:v>0.015</x:v>
      </x:c>
      <x:c r="I41" s="35" t="n">
        <x:v>0.015</x:v>
      </x:c>
      <x:c r="J41" s="35" t="n">
        <x:v>0.015</x:v>
      </x:c>
      <x:c r="K41" s="35" t="n">
        <x:v>0.015</x:v>
      </x:c>
      <x:c r="L41" s="35" t="n">
        <x:v>0.015</x:v>
      </x:c>
      <x:c r="M41" s="35" t="n">
        <x:v>0.015</x:v>
      </x:c>
      <x:c r="N41" s="35" t="n">
        <x:v>0.015</x:v>
      </x:c>
      <x:c r="O41" s="35" t="n">
        <x:v>0.015</x:v>
      </x:c>
      <x:c r="P41" s="35" t="n">
        <x:v>0.015</x:v>
      </x:c>
      <x:c r="Q41" s="2"/>
      <x:c r="R41" s="2"/>
    </x:row>
    <x:row r="42" ht="21" customHeight="1">
      <x:c r="A42" s="2"/>
      <x:c r="B42" s="2"/>
      <x:c r="C42" s="2"/>
      <x:c r="D42" s="2" t="str">
        <x:v>Downside</x:v>
      </x:c>
      <x:c r="E42" s="35" t="n">
        <x:v>0.025</x:v>
      </x:c>
      <x:c r="F42" s="35" t="n">
        <x:v>0.025</x:v>
      </x:c>
      <x:c r="G42" s="35" t="n">
        <x:v>0.025</x:v>
      </x:c>
      <x:c r="H42" s="35" t="n">
        <x:v>0.025</x:v>
      </x:c>
      <x:c r="I42" s="35" t="n">
        <x:v>0.025</x:v>
      </x:c>
      <x:c r="J42" s="35" t="n">
        <x:v>0.025</x:v>
      </x:c>
      <x:c r="K42" s="35" t="n">
        <x:v>0.025</x:v>
      </x:c>
      <x:c r="L42" s="35" t="n">
        <x:v>0.025</x:v>
      </x:c>
      <x:c r="M42" s="35" t="n">
        <x:v>0.025</x:v>
      </x:c>
      <x:c r="N42" s="35" t="n">
        <x:v>0.025</x:v>
      </x:c>
      <x:c r="O42" s="35" t="n">
        <x:v>0.025</x:v>
      </x:c>
      <x:c r="P42" s="35" t="n">
        <x:v>0.025</x:v>
      </x:c>
      <x:c r="Q42" s="2"/>
      <x:c r="R42" s="2"/>
    </x:row>
    <x:row r="43" ht="21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</x:row>
    <x:row r="44" ht="21" customHeight="1">
      <x:c r="A44" s="2"/>
      <x:c r="B44" s="2"/>
      <x:c r="C44" s="25" t="str">
        <x:v>Storage/export cost per run (USD)</x:v>
      </x:c>
      <x:c r="D44" s="25" t="str">
        <x:v>Active</x:v>
      </x:c>
      <x:c r="E44" s="36" t="n">
        <x:f>IF($E$4="Base",IF(ISNUMBER(E45),E45,"n.a."),IF($E$4="Downside",IF(ISNUMBER(E46),E46,"n.a."),"n.a."))</x:f>
        <x:v>0.005</x:v>
      </x:c>
      <x:c r="F44" s="36" t="n">
        <x:f>IF($E$4="Base",IF(ISNUMBER(F45),F45,"n.a."),IF($E$4="Downside",IF(ISNUMBER(F46),F46,"n.a."),"n.a."))</x:f>
        <x:v>0.005</x:v>
      </x:c>
      <x:c r="G44" s="36" t="n">
        <x:f>IF($E$4="Base",IF(ISNUMBER(G45),G45,"n.a."),IF($E$4="Downside",IF(ISNUMBER(G46),G46,"n.a."),"n.a."))</x:f>
        <x:v>0.005</x:v>
      </x:c>
      <x:c r="H44" s="36" t="n">
        <x:f>IF($E$4="Base",IF(ISNUMBER(H45),H45,"n.a."),IF($E$4="Downside",IF(ISNUMBER(H46),H46,"n.a."),"n.a."))</x:f>
        <x:v>0.005</x:v>
      </x:c>
      <x:c r="I44" s="36" t="n">
        <x:f>IF($E$4="Base",IF(ISNUMBER(I45),I45,"n.a."),IF($E$4="Downside",IF(ISNUMBER(I46),I46,"n.a."),"n.a."))</x:f>
        <x:v>0.005</x:v>
      </x:c>
      <x:c r="J44" s="36" t="n">
        <x:f>IF($E$4="Base",IF(ISNUMBER(J45),J45,"n.a."),IF($E$4="Downside",IF(ISNUMBER(J46),J46,"n.a."),"n.a."))</x:f>
        <x:v>0.005</x:v>
      </x:c>
      <x:c r="K44" s="36" t="n">
        <x:f>IF($E$4="Base",IF(ISNUMBER(K45),K45,"n.a."),IF($E$4="Downside",IF(ISNUMBER(K46),K46,"n.a."),"n.a."))</x:f>
        <x:v>0.005</x:v>
      </x:c>
      <x:c r="L44" s="36" t="n">
        <x:f>IF($E$4="Base",IF(ISNUMBER(L45),L45,"n.a."),IF($E$4="Downside",IF(ISNUMBER(L46),L46,"n.a."),"n.a."))</x:f>
        <x:v>0.005</x:v>
      </x:c>
      <x:c r="M44" s="36" t="n">
        <x:f>IF($E$4="Base",IF(ISNUMBER(M45),M45,"n.a."),IF($E$4="Downside",IF(ISNUMBER(M46),M46,"n.a."),"n.a."))</x:f>
        <x:v>0.005</x:v>
      </x:c>
      <x:c r="N44" s="36" t="n">
        <x:f>IF($E$4="Base",IF(ISNUMBER(N45),N45,"n.a."),IF($E$4="Downside",IF(ISNUMBER(N46),N46,"n.a."),"n.a."))</x:f>
        <x:v>0.005</x:v>
      </x:c>
      <x:c r="O44" s="36" t="n">
        <x:f>IF($E$4="Base",IF(ISNUMBER(O45),O45,"n.a."),IF($E$4="Downside",IF(ISNUMBER(O46),O46,"n.a."),"n.a."))</x:f>
        <x:v>0.005</x:v>
      </x:c>
      <x:c r="P44" s="36" t="n">
        <x:f>IF($E$4="Base",IF(ISNUMBER(P45),P45,"n.a."),IF($E$4="Downside",IF(ISNUMBER(P46),P46,"n.a."),"n.a."))</x:f>
        <x:v>0.005</x:v>
      </x:c>
      <x:c r="Q44" s="2"/>
      <x:c r="R44" s="2" t="str">
        <x:v>Illustrative incremental retention/export cost allocated per run. No supplier quote.</x:v>
      </x:c>
    </x:row>
    <x:row r="45" ht="21" customHeight="1">
      <x:c r="A45" s="2"/>
      <x:c r="B45" s="2"/>
      <x:c r="C45" s="2"/>
      <x:c r="D45" s="2" t="str">
        <x:v>Base</x:v>
      </x:c>
      <x:c r="E45" s="35" t="n">
        <x:v>0.005</x:v>
      </x:c>
      <x:c r="F45" s="35" t="n">
        <x:v>0.005</x:v>
      </x:c>
      <x:c r="G45" s="35" t="n">
        <x:v>0.005</x:v>
      </x:c>
      <x:c r="H45" s="35" t="n">
        <x:v>0.005</x:v>
      </x:c>
      <x:c r="I45" s="35" t="n">
        <x:v>0.005</x:v>
      </x:c>
      <x:c r="J45" s="35" t="n">
        <x:v>0.005</x:v>
      </x:c>
      <x:c r="K45" s="35" t="n">
        <x:v>0.005</x:v>
      </x:c>
      <x:c r="L45" s="35" t="n">
        <x:v>0.005</x:v>
      </x:c>
      <x:c r="M45" s="35" t="n">
        <x:v>0.005</x:v>
      </x:c>
      <x:c r="N45" s="35" t="n">
        <x:v>0.005</x:v>
      </x:c>
      <x:c r="O45" s="35" t="n">
        <x:v>0.005</x:v>
      </x:c>
      <x:c r="P45" s="35" t="n">
        <x:v>0.005</x:v>
      </x:c>
      <x:c r="Q45" s="2"/>
      <x:c r="R45" s="2"/>
    </x:row>
    <x:row r="46" ht="21" customHeight="1">
      <x:c r="A46" s="2"/>
      <x:c r="B46" s="2"/>
      <x:c r="C46" s="2"/>
      <x:c r="D46" s="2" t="str">
        <x:v>Downside</x:v>
      </x:c>
      <x:c r="E46" s="35" t="n">
        <x:v>0.01</x:v>
      </x:c>
      <x:c r="F46" s="35" t="n">
        <x:v>0.01</x:v>
      </x:c>
      <x:c r="G46" s="35" t="n">
        <x:v>0.01</x:v>
      </x:c>
      <x:c r="H46" s="35" t="n">
        <x:v>0.01</x:v>
      </x:c>
      <x:c r="I46" s="35" t="n">
        <x:v>0.01</x:v>
      </x:c>
      <x:c r="J46" s="35" t="n">
        <x:v>0.01</x:v>
      </x:c>
      <x:c r="K46" s="35" t="n">
        <x:v>0.01</x:v>
      </x:c>
      <x:c r="L46" s="35" t="n">
        <x:v>0.01</x:v>
      </x:c>
      <x:c r="M46" s="35" t="n">
        <x:v>0.01</x:v>
      </x:c>
      <x:c r="N46" s="35" t="n">
        <x:v>0.01</x:v>
      </x:c>
      <x:c r="O46" s="35" t="n">
        <x:v>0.01</x:v>
      </x:c>
      <x:c r="P46" s="35" t="n">
        <x:v>0.01</x:v>
      </x:c>
      <x:c r="Q46" s="2"/>
      <x:c r="R46" s="2"/>
    </x:row>
    <x:row r="47" ht="21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</x:row>
    <x:row r="48" ht="21" customHeight="1">
      <x:c r="A48" s="2"/>
      <x:c r="B48" s="2"/>
      <x:c r="C48" s="25" t="str">
        <x:v>Payment fee share</x:v>
      </x:c>
      <x:c r="D48" s="25" t="str">
        <x:v>Active</x:v>
      </x:c>
      <x:c r="E48" s="28" t="n">
        <x:f>IF($E$4="Base",IF(ISNUMBER(E49),E49,"n.a."),IF($E$4="Downside",IF(ISNUMBER(E50),E50,"n.a."),"n.a."))</x:f>
        <x:v>0.03</x:v>
      </x:c>
      <x:c r="F48" s="28" t="n">
        <x:f>IF($E$4="Base",IF(ISNUMBER(F49),F49,"n.a."),IF($E$4="Downside",IF(ISNUMBER(F50),F50,"n.a."),"n.a."))</x:f>
        <x:v>0.03</x:v>
      </x:c>
      <x:c r="G48" s="28" t="n">
        <x:f>IF($E$4="Base",IF(ISNUMBER(G49),G49,"n.a."),IF($E$4="Downside",IF(ISNUMBER(G50),G50,"n.a."),"n.a."))</x:f>
        <x:v>0.03</x:v>
      </x:c>
      <x:c r="H48" s="28" t="n">
        <x:f>IF($E$4="Base",IF(ISNUMBER(H49),H49,"n.a."),IF($E$4="Downside",IF(ISNUMBER(H50),H50,"n.a."),"n.a."))</x:f>
        <x:v>0.03</x:v>
      </x:c>
      <x:c r="I48" s="28" t="n">
        <x:f>IF($E$4="Base",IF(ISNUMBER(I49),I49,"n.a."),IF($E$4="Downside",IF(ISNUMBER(I50),I50,"n.a."),"n.a."))</x:f>
        <x:v>0.03</x:v>
      </x:c>
      <x:c r="J48" s="28" t="n">
        <x:f>IF($E$4="Base",IF(ISNUMBER(J49),J49,"n.a."),IF($E$4="Downside",IF(ISNUMBER(J50),J50,"n.a."),"n.a."))</x:f>
        <x:v>0.03</x:v>
      </x:c>
      <x:c r="K48" s="28" t="n">
        <x:f>IF($E$4="Base",IF(ISNUMBER(K49),K49,"n.a."),IF($E$4="Downside",IF(ISNUMBER(K50),K50,"n.a."),"n.a."))</x:f>
        <x:v>0.03</x:v>
      </x:c>
      <x:c r="L48" s="28" t="n">
        <x:f>IF($E$4="Base",IF(ISNUMBER(L49),L49,"n.a."),IF($E$4="Downside",IF(ISNUMBER(L50),L50,"n.a."),"n.a."))</x:f>
        <x:v>0.03</x:v>
      </x:c>
      <x:c r="M48" s="28" t="n">
        <x:f>IF($E$4="Base",IF(ISNUMBER(M49),M49,"n.a."),IF($E$4="Downside",IF(ISNUMBER(M50),M50,"n.a."),"n.a."))</x:f>
        <x:v>0.03</x:v>
      </x:c>
      <x:c r="N48" s="28" t="n">
        <x:f>IF($E$4="Base",IF(ISNUMBER(N49),N49,"n.a."),IF($E$4="Downside",IF(ISNUMBER(N50),N50,"n.a."),"n.a."))</x:f>
        <x:v>0.03</x:v>
      </x:c>
      <x:c r="O48" s="28" t="n">
        <x:f>IF($E$4="Base",IF(ISNUMBER(O49),O49,"n.a."),IF($E$4="Downside",IF(ISNUMBER(O50),O50,"n.a."),"n.a."))</x:f>
        <x:v>0.03</x:v>
      </x:c>
      <x:c r="P48" s="28" t="n">
        <x:f>IF($E$4="Base",IF(ISNUMBER(P49),P49,"n.a."),IF($E$4="Downside",IF(ISNUMBER(P50),P50,"n.a."),"n.a."))</x:f>
        <x:v>0.03</x:v>
      </x:c>
      <x:c r="Q48" s="2"/>
      <x:c r="R48" s="2" t="str">
        <x:v>Illustrative fee, not a processor quote. Applied once to monthly revenue.</x:v>
      </x:c>
    </x:row>
    <x:row r="49" ht="21" customHeight="1">
      <x:c r="A49" s="2"/>
      <x:c r="B49" s="2"/>
      <x:c r="C49" s="2"/>
      <x:c r="D49" s="2" t="str">
        <x:v>Base</x:v>
      </x:c>
      <x:c r="E49" s="14" t="n">
        <x:v>0.03</x:v>
      </x:c>
      <x:c r="F49" s="14" t="n">
        <x:v>0.03</x:v>
      </x:c>
      <x:c r="G49" s="14" t="n">
        <x:v>0.03</x:v>
      </x:c>
      <x:c r="H49" s="14" t="n">
        <x:v>0.03</x:v>
      </x:c>
      <x:c r="I49" s="14" t="n">
        <x:v>0.03</x:v>
      </x:c>
      <x:c r="J49" s="14" t="n">
        <x:v>0.03</x:v>
      </x:c>
      <x:c r="K49" s="14" t="n">
        <x:v>0.03</x:v>
      </x:c>
      <x:c r="L49" s="14" t="n">
        <x:v>0.03</x:v>
      </x:c>
      <x:c r="M49" s="14" t="n">
        <x:v>0.03</x:v>
      </x:c>
      <x:c r="N49" s="14" t="n">
        <x:v>0.03</x:v>
      </x:c>
      <x:c r="O49" s="14" t="n">
        <x:v>0.03</x:v>
      </x:c>
      <x:c r="P49" s="14" t="n">
        <x:v>0.03</x:v>
      </x:c>
      <x:c r="Q49" s="2"/>
      <x:c r="R49" s="2"/>
    </x:row>
    <x:row r="50" ht="21" customHeight="1">
      <x:c r="A50" s="2"/>
      <x:c r="B50" s="2"/>
      <x:c r="C50" s="2"/>
      <x:c r="D50" s="2" t="str">
        <x:v>Downside</x:v>
      </x:c>
      <x:c r="E50" s="14" t="n">
        <x:v>0.03</x:v>
      </x:c>
      <x:c r="F50" s="14" t="n">
        <x:v>0.03</x:v>
      </x:c>
      <x:c r="G50" s="14" t="n">
        <x:v>0.03</x:v>
      </x:c>
      <x:c r="H50" s="14" t="n">
        <x:v>0.03</x:v>
      </x:c>
      <x:c r="I50" s="14" t="n">
        <x:v>0.03</x:v>
      </x:c>
      <x:c r="J50" s="14" t="n">
        <x:v>0.03</x:v>
      </x:c>
      <x:c r="K50" s="14" t="n">
        <x:v>0.03</x:v>
      </x:c>
      <x:c r="L50" s="14" t="n">
        <x:v>0.03</x:v>
      </x:c>
      <x:c r="M50" s="14" t="n">
        <x:v>0.03</x:v>
      </x:c>
      <x:c r="N50" s="14" t="n">
        <x:v>0.03</x:v>
      </x:c>
      <x:c r="O50" s="14" t="n">
        <x:v>0.03</x:v>
      </x:c>
      <x:c r="P50" s="14" t="n">
        <x:v>0.03</x:v>
      </x:c>
      <x:c r="Q50" s="2"/>
      <x:c r="R50" s="2"/>
    </x:row>
    <x:row r="51" ht="21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</x:row>
    <x:row r="52" ht="21" customHeight="1">
      <x:c r="A52" s="2"/>
      <x:c r="B52" s="2"/>
      <x:c r="C52" s="25" t="str">
        <x:v>Payment fee per team (USD)</x:v>
      </x:c>
      <x:c r="D52" s="25" t="str">
        <x:v>Active</x:v>
      </x:c>
      <x:c r="E52" s="37" t="n">
        <x:f>IF($E$4="Base",IF(ISNUMBER(E53),E53,"n.a."),IF($E$4="Downside",IF(ISNUMBER(E54),E54,"n.a."),"n.a."))</x:f>
        <x:v>0.3</x:v>
      </x:c>
      <x:c r="F52" s="37" t="n">
        <x:f>IF($E$4="Base",IF(ISNUMBER(F53),F53,"n.a."),IF($E$4="Downside",IF(ISNUMBER(F54),F54,"n.a."),"n.a."))</x:f>
        <x:v>0.3</x:v>
      </x:c>
      <x:c r="G52" s="37" t="n">
        <x:f>IF($E$4="Base",IF(ISNUMBER(G53),G53,"n.a."),IF($E$4="Downside",IF(ISNUMBER(G54),G54,"n.a."),"n.a."))</x:f>
        <x:v>0.3</x:v>
      </x:c>
      <x:c r="H52" s="37" t="n">
        <x:f>IF($E$4="Base",IF(ISNUMBER(H53),H53,"n.a."),IF($E$4="Downside",IF(ISNUMBER(H54),H54,"n.a."),"n.a."))</x:f>
        <x:v>0.3</x:v>
      </x:c>
      <x:c r="I52" s="37" t="n">
        <x:f>IF($E$4="Base",IF(ISNUMBER(I53),I53,"n.a."),IF($E$4="Downside",IF(ISNUMBER(I54),I54,"n.a."),"n.a."))</x:f>
        <x:v>0.3</x:v>
      </x:c>
      <x:c r="J52" s="37" t="n">
        <x:f>IF($E$4="Base",IF(ISNUMBER(J53),J53,"n.a."),IF($E$4="Downside",IF(ISNUMBER(J54),J54,"n.a."),"n.a."))</x:f>
        <x:v>0.3</x:v>
      </x:c>
      <x:c r="K52" s="37" t="n">
        <x:f>IF($E$4="Base",IF(ISNUMBER(K53),K53,"n.a."),IF($E$4="Downside",IF(ISNUMBER(K54),K54,"n.a."),"n.a."))</x:f>
        <x:v>0.3</x:v>
      </x:c>
      <x:c r="L52" s="37" t="n">
        <x:f>IF($E$4="Base",IF(ISNUMBER(L53),L53,"n.a."),IF($E$4="Downside",IF(ISNUMBER(L54),L54,"n.a."),"n.a."))</x:f>
        <x:v>0.3</x:v>
      </x:c>
      <x:c r="M52" s="37" t="n">
        <x:f>IF($E$4="Base",IF(ISNUMBER(M53),M53,"n.a."),IF($E$4="Downside",IF(ISNUMBER(M54),M54,"n.a."),"n.a."))</x:f>
        <x:v>0.3</x:v>
      </x:c>
      <x:c r="N52" s="37" t="n">
        <x:f>IF($E$4="Base",IF(ISNUMBER(N53),N53,"n.a."),IF($E$4="Downside",IF(ISNUMBER(N54),N54,"n.a."),"n.a."))</x:f>
        <x:v>0.3</x:v>
      </x:c>
      <x:c r="O52" s="37" t="n">
        <x:f>IF($E$4="Base",IF(ISNUMBER(O53),O53,"n.a."),IF($E$4="Downside",IF(ISNUMBER(O54),O54,"n.a."),"n.a."))</x:f>
        <x:v>0.3</x:v>
      </x:c>
      <x:c r="P52" s="37" t="n">
        <x:f>IF($E$4="Base",IF(ISNUMBER(P53),P53,"n.a."),IF($E$4="Downside",IF(ISNUMBER(P54),P54,"n.a."),"n.a."))</x:f>
        <x:v>0.3</x:v>
      </x:c>
      <x:c r="Q52" s="2"/>
      <x:c r="R52" s="2" t="str">
        <x:v>Illustrative monthly payment fee. One bill per team per month.</x:v>
      </x:c>
    </x:row>
    <x:row r="53" ht="21" customHeight="1">
      <x:c r="A53" s="2"/>
      <x:c r="B53" s="2"/>
      <x:c r="C53" s="2"/>
      <x:c r="D53" s="2" t="str">
        <x:v>Base</x:v>
      </x:c>
      <x:c r="E53" s="38" t="n">
        <x:v>0.3</x:v>
      </x:c>
      <x:c r="F53" s="38" t="n">
        <x:v>0.3</x:v>
      </x:c>
      <x:c r="G53" s="38" t="n">
        <x:v>0.3</x:v>
      </x:c>
      <x:c r="H53" s="38" t="n">
        <x:v>0.3</x:v>
      </x:c>
      <x:c r="I53" s="38" t="n">
        <x:v>0.3</x:v>
      </x:c>
      <x:c r="J53" s="38" t="n">
        <x:v>0.3</x:v>
      </x:c>
      <x:c r="K53" s="38" t="n">
        <x:v>0.3</x:v>
      </x:c>
      <x:c r="L53" s="38" t="n">
        <x:v>0.3</x:v>
      </x:c>
      <x:c r="M53" s="38" t="n">
        <x:v>0.3</x:v>
      </x:c>
      <x:c r="N53" s="38" t="n">
        <x:v>0.3</x:v>
      </x:c>
      <x:c r="O53" s="38" t="n">
        <x:v>0.3</x:v>
      </x:c>
      <x:c r="P53" s="38" t="n">
        <x:v>0.3</x:v>
      </x:c>
      <x:c r="Q53" s="2"/>
      <x:c r="R53" s="2"/>
    </x:row>
    <x:row r="54" ht="21" customHeight="1">
      <x:c r="A54" s="2"/>
      <x:c r="B54" s="2"/>
      <x:c r="C54" s="2"/>
      <x:c r="D54" s="2" t="str">
        <x:v>Downside</x:v>
      </x:c>
      <x:c r="E54" s="38" t="n">
        <x:v>0.3</x:v>
      </x:c>
      <x:c r="F54" s="38" t="n">
        <x:v>0.3</x:v>
      </x:c>
      <x:c r="G54" s="38" t="n">
        <x:v>0.3</x:v>
      </x:c>
      <x:c r="H54" s="38" t="n">
        <x:v>0.3</x:v>
      </x:c>
      <x:c r="I54" s="38" t="n">
        <x:v>0.3</x:v>
      </x:c>
      <x:c r="J54" s="38" t="n">
        <x:v>0.3</x:v>
      </x:c>
      <x:c r="K54" s="38" t="n">
        <x:v>0.3</x:v>
      </x:c>
      <x:c r="L54" s="38" t="n">
        <x:v>0.3</x:v>
      </x:c>
      <x:c r="M54" s="38" t="n">
        <x:v>0.3</x:v>
      </x:c>
      <x:c r="N54" s="38" t="n">
        <x:v>0.3</x:v>
      </x:c>
      <x:c r="O54" s="38" t="n">
        <x:v>0.3</x:v>
      </x:c>
      <x:c r="P54" s="38" t="n">
        <x:v>0.3</x:v>
      </x:c>
      <x:c r="Q54" s="2"/>
      <x:c r="R54" s="2"/>
    </x:row>
    <x:row r="55" ht="21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</x:row>
    <x:row r="56" ht="21" customHeight="1">
      <x:c r="A56" s="2"/>
      <x:c r="B56" s="2"/>
      <x:c r="C56" s="25" t="str">
        <x:v>Fixed service hosting (USD)</x:v>
      </x:c>
      <x:c r="D56" s="25" t="str">
        <x:v>Active</x:v>
      </x:c>
      <x:c r="E56" s="29" t="n">
        <x:f>IF($E$4="Base",IF(ISNUMBER(E57),E57,"n.a."),IF($E$4="Downside",IF(ISNUMBER(E58),E58,"n.a."),"n.a."))</x:f>
        <x:v>50</x:v>
      </x:c>
      <x:c r="F56" s="29" t="n">
        <x:f>IF($E$4="Base",IF(ISNUMBER(F57),F57,"n.a."),IF($E$4="Downside",IF(ISNUMBER(F58),F58,"n.a."),"n.a."))</x:f>
        <x:v>50</x:v>
      </x:c>
      <x:c r="G56" s="29" t="n">
        <x:f>IF($E$4="Base",IF(ISNUMBER(G57),G57,"n.a."),IF($E$4="Downside",IF(ISNUMBER(G58),G58,"n.a."),"n.a."))</x:f>
        <x:v>50</x:v>
      </x:c>
      <x:c r="H56" s="29" t="n">
        <x:f>IF($E$4="Base",IF(ISNUMBER(H57),H57,"n.a."),IF($E$4="Downside",IF(ISNUMBER(H58),H58,"n.a."),"n.a."))</x:f>
        <x:v>50</x:v>
      </x:c>
      <x:c r="I56" s="29" t="n">
        <x:f>IF($E$4="Base",IF(ISNUMBER(I57),I57,"n.a."),IF($E$4="Downside",IF(ISNUMBER(I58),I58,"n.a."),"n.a."))</x:f>
        <x:v>50</x:v>
      </x:c>
      <x:c r="J56" s="29" t="n">
        <x:f>IF($E$4="Base",IF(ISNUMBER(J57),J57,"n.a."),IF($E$4="Downside",IF(ISNUMBER(J58),J58,"n.a."),"n.a."))</x:f>
        <x:v>50</x:v>
      </x:c>
      <x:c r="K56" s="29" t="n">
        <x:f>IF($E$4="Base",IF(ISNUMBER(K57),K57,"n.a."),IF($E$4="Downside",IF(ISNUMBER(K58),K58,"n.a."),"n.a."))</x:f>
        <x:v>50</x:v>
      </x:c>
      <x:c r="L56" s="29" t="n">
        <x:f>IF($E$4="Base",IF(ISNUMBER(L57),L57,"n.a."),IF($E$4="Downside",IF(ISNUMBER(L58),L58,"n.a."),"n.a."))</x:f>
        <x:v>50</x:v>
      </x:c>
      <x:c r="M56" s="29" t="n">
        <x:f>IF($E$4="Base",IF(ISNUMBER(M57),M57,"n.a."),IF($E$4="Downside",IF(ISNUMBER(M58),M58,"n.a."),"n.a."))</x:f>
        <x:v>50</x:v>
      </x:c>
      <x:c r="N56" s="29" t="n">
        <x:f>IF($E$4="Base",IF(ISNUMBER(N57),N57,"n.a."),IF($E$4="Downside",IF(ISNUMBER(N58),N58,"n.a."),"n.a."))</x:f>
        <x:v>50</x:v>
      </x:c>
      <x:c r="O56" s="29" t="n">
        <x:f>IF($E$4="Base",IF(ISNUMBER(O57),O57,"n.a."),IF($E$4="Downside",IF(ISNUMBER(O58),O58,"n.a."),"n.a."))</x:f>
        <x:v>50</x:v>
      </x:c>
      <x:c r="P56" s="29" t="n">
        <x:f>IF($E$4="Base",IF(ISNUMBER(P57),P57,"n.a."),IF($E$4="Downside",IF(ISNUMBER(P58),P58,"n.a."),"n.a."))</x:f>
        <x:v>50</x:v>
      </x:c>
      <x:c r="Q56" s="2"/>
      <x:c r="R56" s="2" t="str">
        <x:v>Illustrative direct hosting/telemetry baseline, additional to per-run compute.</x:v>
      </x:c>
    </x:row>
    <x:row r="57" ht="21" customHeight="1">
      <x:c r="A57" s="2"/>
      <x:c r="B57" s="2"/>
      <x:c r="C57" s="2"/>
      <x:c r="D57" s="2" t="str">
        <x:v>Base</x:v>
      </x:c>
      <x:c r="E57" s="13" t="n">
        <x:v>50</x:v>
      </x:c>
      <x:c r="F57" s="13" t="n">
        <x:v>50</x:v>
      </x:c>
      <x:c r="G57" s="13" t="n">
        <x:v>50</x:v>
      </x:c>
      <x:c r="H57" s="13" t="n">
        <x:v>50</x:v>
      </x:c>
      <x:c r="I57" s="13" t="n">
        <x:v>50</x:v>
      </x:c>
      <x:c r="J57" s="13" t="n">
        <x:v>50</x:v>
      </x:c>
      <x:c r="K57" s="13" t="n">
        <x:v>50</x:v>
      </x:c>
      <x:c r="L57" s="13" t="n">
        <x:v>50</x:v>
      </x:c>
      <x:c r="M57" s="13" t="n">
        <x:v>50</x:v>
      </x:c>
      <x:c r="N57" s="13" t="n">
        <x:v>50</x:v>
      </x:c>
      <x:c r="O57" s="13" t="n">
        <x:v>50</x:v>
      </x:c>
      <x:c r="P57" s="13" t="n">
        <x:v>50</x:v>
      </x:c>
      <x:c r="Q57" s="2"/>
      <x:c r="R57" s="2"/>
    </x:row>
    <x:row r="58" ht="21" customHeight="1">
      <x:c r="A58" s="2"/>
      <x:c r="B58" s="2"/>
      <x:c r="C58" s="2"/>
      <x:c r="D58" s="2" t="str">
        <x:v>Downside</x:v>
      </x:c>
      <x:c r="E58" s="13" t="n">
        <x:v>100</x:v>
      </x:c>
      <x:c r="F58" s="13" t="n">
        <x:v>100</x:v>
      </x:c>
      <x:c r="G58" s="13" t="n">
        <x:v>100</x:v>
      </x:c>
      <x:c r="H58" s="13" t="n">
        <x:v>100</x:v>
      </x:c>
      <x:c r="I58" s="13" t="n">
        <x:v>100</x:v>
      </x:c>
      <x:c r="J58" s="13" t="n">
        <x:v>100</x:v>
      </x:c>
      <x:c r="K58" s="13" t="n">
        <x:v>100</x:v>
      </x:c>
      <x:c r="L58" s="13" t="n">
        <x:v>100</x:v>
      </x:c>
      <x:c r="M58" s="13" t="n">
        <x:v>100</x:v>
      </x:c>
      <x:c r="N58" s="13" t="n">
        <x:v>100</x:v>
      </x:c>
      <x:c r="O58" s="13" t="n">
        <x:v>100</x:v>
      </x:c>
      <x:c r="P58" s="13" t="n">
        <x:v>100</x:v>
      </x:c>
      <x:c r="Q58" s="2"/>
      <x:c r="R58" s="2"/>
    </x:row>
    <x:row r="59" ht="21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</x:row>
    <x:row r="60" ht="21" customHeight="1">
      <x:c r="A60" s="2"/>
      <x:c r="B60" s="2"/>
      <x:c r="C60" s="25" t="str">
        <x:v>Founder/contractor cash pay (USD)</x:v>
      </x:c>
      <x:c r="D60" s="25" t="str">
        <x:v>Active</x:v>
      </x:c>
      <x:c r="E60" s="29" t="n">
        <x:f>IF($E$4="Base",IF(ISNUMBER(E61),E61,"n.a."),IF($E$4="Downside",IF(ISNUMBER(E62),E62,"n.a."),"n.a."))</x:f>
        <x:v>1000</x:v>
      </x:c>
      <x:c r="F60" s="29" t="n">
        <x:f>IF($E$4="Base",IF(ISNUMBER(F61),F61,"n.a."),IF($E$4="Downside",IF(ISNUMBER(F62),F62,"n.a."),"n.a."))</x:f>
        <x:v>1000</x:v>
      </x:c>
      <x:c r="G60" s="29" t="n">
        <x:f>IF($E$4="Base",IF(ISNUMBER(G61),G61,"n.a."),IF($E$4="Downside",IF(ISNUMBER(G62),G62,"n.a."),"n.a."))</x:f>
        <x:v>1000</x:v>
      </x:c>
      <x:c r="H60" s="29" t="n">
        <x:f>IF($E$4="Base",IF(ISNUMBER(H61),H61,"n.a."),IF($E$4="Downside",IF(ISNUMBER(H62),H62,"n.a."),"n.a."))</x:f>
        <x:v>1000</x:v>
      </x:c>
      <x:c r="I60" s="29" t="n">
        <x:f>IF($E$4="Base",IF(ISNUMBER(I61),I61,"n.a."),IF($E$4="Downside",IF(ISNUMBER(I62),I62,"n.a."),"n.a."))</x:f>
        <x:v>1000</x:v>
      </x:c>
      <x:c r="J60" s="29" t="n">
        <x:f>IF($E$4="Base",IF(ISNUMBER(J61),J61,"n.a."),IF($E$4="Downside",IF(ISNUMBER(J62),J62,"n.a."),"n.a."))</x:f>
        <x:v>1000</x:v>
      </x:c>
      <x:c r="K60" s="29" t="n">
        <x:f>IF($E$4="Base",IF(ISNUMBER(K61),K61,"n.a."),IF($E$4="Downside",IF(ISNUMBER(K62),K62,"n.a."),"n.a."))</x:f>
        <x:v>1000</x:v>
      </x:c>
      <x:c r="L60" s="29" t="n">
        <x:f>IF($E$4="Base",IF(ISNUMBER(L61),L61,"n.a."),IF($E$4="Downside",IF(ISNUMBER(L62),L62,"n.a."),"n.a."))</x:f>
        <x:v>1000</x:v>
      </x:c>
      <x:c r="M60" s="29" t="n">
        <x:f>IF($E$4="Base",IF(ISNUMBER(M61),M61,"n.a."),IF($E$4="Downside",IF(ISNUMBER(M62),M62,"n.a."),"n.a."))</x:f>
        <x:v>1000</x:v>
      </x:c>
      <x:c r="N60" s="29" t="n">
        <x:f>IF($E$4="Base",IF(ISNUMBER(N61),N61,"n.a."),IF($E$4="Downside",IF(ISNUMBER(N62),N62,"n.a."),"n.a."))</x:f>
        <x:v>1000</x:v>
      </x:c>
      <x:c r="O60" s="29" t="n">
        <x:f>IF($E$4="Base",IF(ISNUMBER(O61),O61,"n.a."),IF($E$4="Downside",IF(ISNUMBER(O62),O62,"n.a."),"n.a."))</x:f>
        <x:v>1000</x:v>
      </x:c>
      <x:c r="P60" s="29" t="n">
        <x:f>IF($E$4="Base",IF(ISNUMBER(P61),P61,"n.a."),IF($E$4="Downside",IF(ISNUMBER(P62),P62,"n.a."),"n.a."))</x:f>
        <x:v>1000</x:v>
      </x:c>
      <x:c r="Q60" s="2"/>
      <x:c r="R60" s="2" t="str">
        <x:v>Illustrative monthly cash pay. No unpaid founder labor valued in this cash plan.</x:v>
      </x:c>
    </x:row>
    <x:row r="61" ht="21" customHeight="1">
      <x:c r="A61" s="2"/>
      <x:c r="B61" s="2"/>
      <x:c r="C61" s="2"/>
      <x:c r="D61" s="2" t="str">
        <x:v>Base</x:v>
      </x:c>
      <x:c r="E61" s="13" t="n">
        <x:v>1000</x:v>
      </x:c>
      <x:c r="F61" s="13" t="n">
        <x:v>1000</x:v>
      </x:c>
      <x:c r="G61" s="13" t="n">
        <x:v>1000</x:v>
      </x:c>
      <x:c r="H61" s="13" t="n">
        <x:v>1000</x:v>
      </x:c>
      <x:c r="I61" s="13" t="n">
        <x:v>1000</x:v>
      </x:c>
      <x:c r="J61" s="13" t="n">
        <x:v>1000</x:v>
      </x:c>
      <x:c r="K61" s="13" t="n">
        <x:v>1000</x:v>
      </x:c>
      <x:c r="L61" s="13" t="n">
        <x:v>1000</x:v>
      </x:c>
      <x:c r="M61" s="13" t="n">
        <x:v>1000</x:v>
      </x:c>
      <x:c r="N61" s="13" t="n">
        <x:v>1000</x:v>
      </x:c>
      <x:c r="O61" s="13" t="n">
        <x:v>1000</x:v>
      </x:c>
      <x:c r="P61" s="13" t="n">
        <x:v>1000</x:v>
      </x:c>
      <x:c r="Q61" s="2"/>
      <x:c r="R61" s="2"/>
    </x:row>
    <x:row r="62" ht="21" customHeight="1">
      <x:c r="A62" s="2"/>
      <x:c r="B62" s="2"/>
      <x:c r="C62" s="2"/>
      <x:c r="D62" s="2" t="str">
        <x:v>Downside</x:v>
      </x:c>
      <x:c r="E62" s="13" t="n">
        <x:v>2000</x:v>
      </x:c>
      <x:c r="F62" s="13" t="n">
        <x:v>2000</x:v>
      </x:c>
      <x:c r="G62" s="13" t="n">
        <x:v>2000</x:v>
      </x:c>
      <x:c r="H62" s="13" t="n">
        <x:v>2000</x:v>
      </x:c>
      <x:c r="I62" s="13" t="n">
        <x:v>2000</x:v>
      </x:c>
      <x:c r="J62" s="13" t="n">
        <x:v>2000</x:v>
      </x:c>
      <x:c r="K62" s="13" t="n">
        <x:v>2000</x:v>
      </x:c>
      <x:c r="L62" s="13" t="n">
        <x:v>2000</x:v>
      </x:c>
      <x:c r="M62" s="13" t="n">
        <x:v>2000</x:v>
      </x:c>
      <x:c r="N62" s="13" t="n">
        <x:v>2000</x:v>
      </x:c>
      <x:c r="O62" s="13" t="n">
        <x:v>2000</x:v>
      </x:c>
      <x:c r="P62" s="13" t="n">
        <x:v>2000</x:v>
      </x:c>
      <x:c r="Q62" s="2"/>
      <x:c r="R62" s="2"/>
    </x:row>
    <x:row r="63" ht="21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</x:row>
    <x:row r="64" ht="21" customHeight="1">
      <x:c r="A64" s="2"/>
      <x:c r="B64" s="2"/>
      <x:c r="C64" s="25" t="str">
        <x:v>Marketing spend (USD)</x:v>
      </x:c>
      <x:c r="D64" s="25" t="str">
        <x:v>Active</x:v>
      </x:c>
      <x:c r="E64" s="29" t="n">
        <x:f>IF($E$4="Base",IF(ISNUMBER(E65),E65,"n.a."),IF($E$4="Downside",IF(ISNUMBER(E66),E66,"n.a."),"n.a."))</x:f>
        <x:v>200</x:v>
      </x:c>
      <x:c r="F64" s="29" t="n">
        <x:f>IF($E$4="Base",IF(ISNUMBER(F65),F65,"n.a."),IF($E$4="Downside",IF(ISNUMBER(F66),F66,"n.a."),"n.a."))</x:f>
        <x:v>200</x:v>
      </x:c>
      <x:c r="G64" s="29" t="n">
        <x:f>IF($E$4="Base",IF(ISNUMBER(G65),G65,"n.a."),IF($E$4="Downside",IF(ISNUMBER(G66),G66,"n.a."),"n.a."))</x:f>
        <x:v>200</x:v>
      </x:c>
      <x:c r="H64" s="29" t="n">
        <x:f>IF($E$4="Base",IF(ISNUMBER(H65),H65,"n.a."),IF($E$4="Downside",IF(ISNUMBER(H66),H66,"n.a."),"n.a."))</x:f>
        <x:v>200</x:v>
      </x:c>
      <x:c r="I64" s="29" t="n">
        <x:f>IF($E$4="Base",IF(ISNUMBER(I65),I65,"n.a."),IF($E$4="Downside",IF(ISNUMBER(I66),I66,"n.a."),"n.a."))</x:f>
        <x:v>200</x:v>
      </x:c>
      <x:c r="J64" s="29" t="n">
        <x:f>IF($E$4="Base",IF(ISNUMBER(J65),J65,"n.a."),IF($E$4="Downside",IF(ISNUMBER(J66),J66,"n.a."),"n.a."))</x:f>
        <x:v>200</x:v>
      </x:c>
      <x:c r="K64" s="29" t="n">
        <x:f>IF($E$4="Base",IF(ISNUMBER(K65),K65,"n.a."),IF($E$4="Downside",IF(ISNUMBER(K66),K66,"n.a."),"n.a."))</x:f>
        <x:v>200</x:v>
      </x:c>
      <x:c r="L64" s="29" t="n">
        <x:f>IF($E$4="Base",IF(ISNUMBER(L65),L65,"n.a."),IF($E$4="Downside",IF(ISNUMBER(L66),L66,"n.a."),"n.a."))</x:f>
        <x:v>200</x:v>
      </x:c>
      <x:c r="M64" s="29" t="n">
        <x:f>IF($E$4="Base",IF(ISNUMBER(M65),M65,"n.a."),IF($E$4="Downside",IF(ISNUMBER(M66),M66,"n.a."),"n.a."))</x:f>
        <x:v>200</x:v>
      </x:c>
      <x:c r="N64" s="29" t="n">
        <x:f>IF($E$4="Base",IF(ISNUMBER(N65),N65,"n.a."),IF($E$4="Downside",IF(ISNUMBER(N66),N66,"n.a."),"n.a."))</x:f>
        <x:v>200</x:v>
      </x:c>
      <x:c r="O64" s="29" t="n">
        <x:f>IF($E$4="Base",IF(ISNUMBER(O65),O65,"n.a."),IF($E$4="Downside",IF(ISNUMBER(O66),O66,"n.a."),"n.a."))</x:f>
        <x:v>200</x:v>
      </x:c>
      <x:c r="P64" s="29" t="n">
        <x:f>IF($E$4="Base",IF(ISNUMBER(P65),P65,"n.a."),IF($E$4="Downside",IF(ISNUMBER(P66),P66,"n.a."),"n.a."))</x:f>
        <x:v>200</x:v>
      </x:c>
      <x:c r="Q64" s="2"/>
      <x:c r="R64" s="2" t="str">
        <x:v>Illustrative spend, independent of acquisition assumptions; not measured CAC.</x:v>
      </x:c>
    </x:row>
    <x:row r="65" ht="21" customHeight="1">
      <x:c r="A65" s="2"/>
      <x:c r="B65" s="2"/>
      <x:c r="C65" s="2"/>
      <x:c r="D65" s="2" t="str">
        <x:v>Base</x:v>
      </x:c>
      <x:c r="E65" s="13" t="n">
        <x:v>200</x:v>
      </x:c>
      <x:c r="F65" s="13" t="n">
        <x:v>200</x:v>
      </x:c>
      <x:c r="G65" s="13" t="n">
        <x:v>200</x:v>
      </x:c>
      <x:c r="H65" s="13" t="n">
        <x:v>200</x:v>
      </x:c>
      <x:c r="I65" s="13" t="n">
        <x:v>200</x:v>
      </x:c>
      <x:c r="J65" s="13" t="n">
        <x:v>200</x:v>
      </x:c>
      <x:c r="K65" s="13" t="n">
        <x:v>200</x:v>
      </x:c>
      <x:c r="L65" s="13" t="n">
        <x:v>200</x:v>
      </x:c>
      <x:c r="M65" s="13" t="n">
        <x:v>200</x:v>
      </x:c>
      <x:c r="N65" s="13" t="n">
        <x:v>200</x:v>
      </x:c>
      <x:c r="O65" s="13" t="n">
        <x:v>200</x:v>
      </x:c>
      <x:c r="P65" s="13" t="n">
        <x:v>200</x:v>
      </x:c>
      <x:c r="Q65" s="2"/>
      <x:c r="R65" s="2"/>
    </x:row>
    <x:row r="66" ht="21" customHeight="1">
      <x:c r="A66" s="2"/>
      <x:c r="B66" s="2"/>
      <x:c r="C66" s="2"/>
      <x:c r="D66" s="2" t="str">
        <x:v>Downside</x:v>
      </x:c>
      <x:c r="E66" s="13" t="n">
        <x:v>300</x:v>
      </x:c>
      <x:c r="F66" s="13" t="n">
        <x:v>300</x:v>
      </x:c>
      <x:c r="G66" s="13" t="n">
        <x:v>300</x:v>
      </x:c>
      <x:c r="H66" s="13" t="n">
        <x:v>300</x:v>
      </x:c>
      <x:c r="I66" s="13" t="n">
        <x:v>300</x:v>
      </x:c>
      <x:c r="J66" s="13" t="n">
        <x:v>300</x:v>
      </x:c>
      <x:c r="K66" s="13" t="n">
        <x:v>300</x:v>
      </x:c>
      <x:c r="L66" s="13" t="n">
        <x:v>300</x:v>
      </x:c>
      <x:c r="M66" s="13" t="n">
        <x:v>300</x:v>
      </x:c>
      <x:c r="N66" s="13" t="n">
        <x:v>300</x:v>
      </x:c>
      <x:c r="O66" s="13" t="n">
        <x:v>300</x:v>
      </x:c>
      <x:c r="P66" s="13" t="n">
        <x:v>300</x:v>
      </x:c>
      <x:c r="Q66" s="2"/>
      <x:c r="R66" s="2"/>
    </x:row>
    <x:row r="67" ht="21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</x:row>
    <x:row r="68" ht="21" customHeight="1">
      <x:c r="A68" s="2"/>
      <x:c r="B68" s="2"/>
      <x:c r="C68" s="25" t="str">
        <x:v>Other operating cash spend (USD)</x:v>
      </x:c>
      <x:c r="D68" s="25" t="str">
        <x:v>Active</x:v>
      </x:c>
      <x:c r="E68" s="29" t="n">
        <x:f>IF($E$4="Base",IF(ISNUMBER(E69),E69,"n.a."),IF($E$4="Downside",IF(ISNUMBER(E70),E70,"n.a."),"n.a."))</x:f>
        <x:v>150</x:v>
      </x:c>
      <x:c r="F68" s="29" t="n">
        <x:f>IF($E$4="Base",IF(ISNUMBER(F69),F69,"n.a."),IF($E$4="Downside",IF(ISNUMBER(F70),F70,"n.a."),"n.a."))</x:f>
        <x:v>150</x:v>
      </x:c>
      <x:c r="G68" s="29" t="n">
        <x:f>IF($E$4="Base",IF(ISNUMBER(G69),G69,"n.a."),IF($E$4="Downside",IF(ISNUMBER(G70),G70,"n.a."),"n.a."))</x:f>
        <x:v>150</x:v>
      </x:c>
      <x:c r="H68" s="29" t="n">
        <x:f>IF($E$4="Base",IF(ISNUMBER(H69),H69,"n.a."),IF($E$4="Downside",IF(ISNUMBER(H70),H70,"n.a."),"n.a."))</x:f>
        <x:v>150</x:v>
      </x:c>
      <x:c r="I68" s="29" t="n">
        <x:f>IF($E$4="Base",IF(ISNUMBER(I69),I69,"n.a."),IF($E$4="Downside",IF(ISNUMBER(I70),I70,"n.a."),"n.a."))</x:f>
        <x:v>150</x:v>
      </x:c>
      <x:c r="J68" s="29" t="n">
        <x:f>IF($E$4="Base",IF(ISNUMBER(J69),J69,"n.a."),IF($E$4="Downside",IF(ISNUMBER(J70),J70,"n.a."),"n.a."))</x:f>
        <x:v>150</x:v>
      </x:c>
      <x:c r="K68" s="29" t="n">
        <x:f>IF($E$4="Base",IF(ISNUMBER(K69),K69,"n.a."),IF($E$4="Downside",IF(ISNUMBER(K70),K70,"n.a."),"n.a."))</x:f>
        <x:v>150</x:v>
      </x:c>
      <x:c r="L68" s="29" t="n">
        <x:f>IF($E$4="Base",IF(ISNUMBER(L69),L69,"n.a."),IF($E$4="Downside",IF(ISNUMBER(L70),L70,"n.a."),"n.a."))</x:f>
        <x:v>150</x:v>
      </x:c>
      <x:c r="M68" s="29" t="n">
        <x:f>IF($E$4="Base",IF(ISNUMBER(M69),M69,"n.a."),IF($E$4="Downside",IF(ISNUMBER(M70),M70,"n.a."),"n.a."))</x:f>
        <x:v>150</x:v>
      </x:c>
      <x:c r="N68" s="29" t="n">
        <x:f>IF($E$4="Base",IF(ISNUMBER(N69),N69,"n.a."),IF($E$4="Downside",IF(ISNUMBER(N70),N70,"n.a."),"n.a."))</x:f>
        <x:v>150</x:v>
      </x:c>
      <x:c r="O68" s="29" t="n">
        <x:f>IF($E$4="Base",IF(ISNUMBER(O69),O69,"n.a."),IF($E$4="Downside",IF(ISNUMBER(O70),O70,"n.a."),"n.a."))</x:f>
        <x:v>150</x:v>
      </x:c>
      <x:c r="P68" s="29" t="n">
        <x:f>IF($E$4="Base",IF(ISNUMBER(P69),P69,"n.a."),IF($E$4="Downside",IF(ISNUMBER(P70),P70,"n.a."),"n.a."))</x:f>
        <x:v>150</x:v>
      </x:c>
      <x:c r="Q68" s="2"/>
      <x:c r="R68" s="2" t="str">
        <x:v>Illustrative tools/support/admin budget. Excludes income tax, debt and capex.</x:v>
      </x:c>
    </x:row>
    <x:row r="69" ht="21" customHeight="1">
      <x:c r="A69" s="2"/>
      <x:c r="B69" s="2"/>
      <x:c r="C69" s="2"/>
      <x:c r="D69" s="2" t="str">
        <x:v>Base</x:v>
      </x:c>
      <x:c r="E69" s="13" t="n">
        <x:v>150</x:v>
      </x:c>
      <x:c r="F69" s="13" t="n">
        <x:v>150</x:v>
      </x:c>
      <x:c r="G69" s="13" t="n">
        <x:v>150</x:v>
      </x:c>
      <x:c r="H69" s="13" t="n">
        <x:v>150</x:v>
      </x:c>
      <x:c r="I69" s="13" t="n">
        <x:v>150</x:v>
      </x:c>
      <x:c r="J69" s="13" t="n">
        <x:v>150</x:v>
      </x:c>
      <x:c r="K69" s="13" t="n">
        <x:v>150</x:v>
      </x:c>
      <x:c r="L69" s="13" t="n">
        <x:v>150</x:v>
      </x:c>
      <x:c r="M69" s="13" t="n">
        <x:v>150</x:v>
      </x:c>
      <x:c r="N69" s="13" t="n">
        <x:v>150</x:v>
      </x:c>
      <x:c r="O69" s="13" t="n">
        <x:v>150</x:v>
      </x:c>
      <x:c r="P69" s="13" t="n">
        <x:v>150</x:v>
      </x:c>
      <x:c r="Q69" s="2"/>
      <x:c r="R69" s="2"/>
    </x:row>
    <x:row r="70" ht="21" customHeight="1">
      <x:c r="A70" s="2"/>
      <x:c r="B70" s="2"/>
      <x:c r="C70" s="2"/>
      <x:c r="D70" s="2" t="str">
        <x:v>Downside</x:v>
      </x:c>
      <x:c r="E70" s="13" t="n">
        <x:v>200</x:v>
      </x:c>
      <x:c r="F70" s="13" t="n">
        <x:v>200</x:v>
      </x:c>
      <x:c r="G70" s="13" t="n">
        <x:v>200</x:v>
      </x:c>
      <x:c r="H70" s="13" t="n">
        <x:v>200</x:v>
      </x:c>
      <x:c r="I70" s="13" t="n">
        <x:v>200</x:v>
      </x:c>
      <x:c r="J70" s="13" t="n">
        <x:v>200</x:v>
      </x:c>
      <x:c r="K70" s="13" t="n">
        <x:v>200</x:v>
      </x:c>
      <x:c r="L70" s="13" t="n">
        <x:v>200</x:v>
      </x:c>
      <x:c r="M70" s="13" t="n">
        <x:v>200</x:v>
      </x:c>
      <x:c r="N70" s="13" t="n">
        <x:v>200</x:v>
      </x:c>
      <x:c r="O70" s="13" t="n">
        <x:v>200</x:v>
      </x:c>
      <x:c r="P70" s="13" t="n">
        <x:v>200</x:v>
      </x:c>
      <x:c r="Q70" s="2"/>
      <x:c r="R70" s="2"/>
    </x:row>
    <x:row r="71" ht="21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</x:row>
    <x:row r="72" ht="21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</x:row>
    <x:row r="73" ht="21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</x:row>
    <x:row r="74" ht="21" customHeight="1">
      <x:c r="A74" s="2"/>
      <x:c r="B74" s="2"/>
      <x:c r="C74" s="2" t="str">
        <x:v>Model basis: cash operating forecast, November 2026–October 2027 (assumed launch horizon).</x:v>
      </x:c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</x:row>
    <x:row r="75" ht="21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</x:row>
    <x:row r="76" ht="21" customHeight="1">
      <x:c r="A76" s="2"/>
      <x:c r="B76" s="2"/>
      <x:c r="C76" s="2" t="str">
        <x:v>Revenue equals collections in the month. No refunds, deferred revenue, tax, financing or capex are modeled.</x:v>
      </x:c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</x:row>
    <x:row r="77" ht="21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</x:row>
    <x:row r="78" ht="21" customHeight="1">
      <x:c r="A78" s="2"/>
      <x:c r="B78" s="2"/>
      <x:c r="C78" s="2" t="str">
        <x:v>Fractional teams represent expected forecast cohorts. They are not real customer counts.</x:v>
      </x:c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</x:row>
    <x:row r="79" ht="21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</x:row>
    <x:row r="80" ht="21" customHeight="1">
      <x:c r="A80" s="2"/>
      <x:c r="B80" s="2"/>
      <x:c r="C80" s="2" t="str">
        <x:v>The contribution target excludes fixed hosting. Gross margin in Forecast includes fixed hosting.</x:v>
      </x:c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</x:row>
    <x:row r="81" ht="21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</x:row>
    <x:row r="82" ht="21" customHeight="1">
      <x:c r="A82" s="2"/>
      <x:c r="B82" s="2"/>
      <x:c r="C82" s="2" t="str">
        <x:v>Reference plan: https://github.com/dsvyro1414-lab/bugreplay/blob/main/plan.md</x:v>
      </x:c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</x:row>
    <x:row r="83" ht="21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</x:row>
    <x:row r="84" ht="21" customHeight="1">
      <x:c r="A84" s="2"/>
      <x:c r="B84" s="2"/>
      <x:c r="C84" s="2" t="str">
        <x:v>CFO.ai sponsor output is still required. This workbook is an independent, assumption-based model.</x:v>
      </x:c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</x:row>
    <x:row r="85" ht="21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</x:row>
    <x:row r="86" ht="21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</x:row>
    <x:row r="87" ht="21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</x:row>
    <x:row r="88" ht="21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</x:row>
    <x:row r="89" ht="21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</x:row>
    <x:row r="90" ht="21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</x:row>
    <x:row r="91" ht="21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</x:row>
  </x:sheetData>
  <x:dataValidations count="2">
    <x:dataValidation type="list" sqref="E4">
      <x:formula1>"Base,Downside"</x:formula1>
    </x:dataValidation>
    <x:dataValidation type="list" sqref="E8">
      <x:formula1>"Planning,Measured"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.5" hidden="0" customWidth="1"/>
    <x:col min="2" max="2" width="2.5" hidden="0" customWidth="1"/>
    <x:col min="3" max="3" width="34" hidden="0" customWidth="1"/>
    <x:col min="4" max="4" width="12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3" hidden="0" customWidth="1"/>
    <x:col min="18" max="18" width="65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1" customHeight="1">
      <x:c r="A2" s="2"/>
      <x:c r="B2" s="2"/>
      <x:c r="C2" s="3" t="str">
        <x:v>Investigation economics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1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2"/>
      <x:c r="R3" s="2"/>
    </x:row>
    <x:row r="4" ht="21" customHeight="1">
      <x:c r="A4" s="2"/>
      <x:c r="B4" s="2"/>
      <x:c r="C4" s="2" t="str">
        <x:v>Case selected</x:v>
      </x:c>
      <x:c r="D4" s="2"/>
      <x:c r="E4" s="7" t="str">
        <x:f>Assumptions!E4</x:f>
        <x:v>Base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1" customHeight="1">
      <x:c r="A5" s="2"/>
      <x:c r="B5" s="2"/>
      <x:c r="C5" s="2" t="str">
        <x:v>First forecast month. Fixed hosting is excluded from contribution, included in Forecast gross profit.</x:v>
      </x:c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21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1" customHeight="1">
      <x:c r="A7" s="2"/>
      <x:c r="B7" s="2"/>
      <x:c r="C7" s="2" t="str">
        <x:v>Price per team (USD)</x:v>
      </x:c>
      <x:c r="D7" s="2"/>
      <x:c r="E7" s="63" t="n">
        <x:f>IF(Forecast!E23="OK",Assumptions!E24,"n.a.")</x:f>
        <x:v>49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</x:row>
    <x:row r="8" ht="21" customHeight="1">
      <x:c r="A8" s="2"/>
      <x:c r="B8" s="2"/>
      <x:c r="C8" s="2" t="str">
        <x:v>Included investigations</x:v>
      </x:c>
      <x:c r="D8" s="2"/>
      <x:c r="E8" s="65" t="n">
        <x:f>IF(Forecast!E23="OK",Assumptions!E28,"n.a.")</x:f>
        <x:v>100</x:v>
      </x:c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</x:row>
    <x:row r="9" ht="21" customHeight="1">
      <x:c r="A9" s="2"/>
      <x:c r="B9" s="2"/>
      <x:c r="C9" s="2" t="str">
        <x:v>Expected investigations</x:v>
      </x:c>
      <x:c r="D9" s="2"/>
      <x:c r="E9" s="61" t="n">
        <x:f>IF(Forecast!E23="OK",E8*Assumptions!E32,"n.a.")</x:f>
        <x:v>60</x:v>
      </x:c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</x:row>
    <x:row r="10" ht="21" customHeight="1">
      <x:c r="A10" s="2"/>
      <x:c r="B10" s="2"/>
      <x:c r="C10" s="2" t="str">
        <x:v>Variable cost per run (USD)</x:v>
      </x:c>
      <x:c r="D10" s="2"/>
      <x:c r="E10" s="59" t="n">
        <x:f>IF(Forecast!E23="OK",SUM(Assumptions!E36,Assumptions!E40,Assumptions!E44),"n.a.")</x:f>
        <x:v>0.08</x:v>
      </x:c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</x:row>
    <x:row r="11" ht="21" customHeight="1">
      <x:c r="A11" s="2"/>
      <x:c r="B11" s="2"/>
      <x:c r="C11" s="52" t="str">
        <x:v>Payment fee share</x:v>
      </x:c>
      <x:c r="D11" s="52"/>
      <x:c r="E11" s="66" t="n">
        <x:f>IF(Forecast!E23="OK",Assumptions!E48,"n.a.")</x:f>
        <x:v>0.03</x:v>
      </x:c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</x:row>
    <x:row r="12" ht="21" customHeight="1">
      <x:c r="A12" s="2"/>
      <x:c r="B12" s="2"/>
      <x:c r="C12" s="2" t="str">
        <x:v>Payment fee per team (USD)</x:v>
      </x:c>
      <x:c r="D12" s="2"/>
      <x:c r="E12" s="63" t="n">
        <x:f>IF(Forecast!E23="OK",Assumptions!E52,"n.a.")</x:f>
        <x:v>0.3</x:v>
      </x:c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</x:row>
    <x:row r="13" ht="21" customHeight="1">
      <x:c r="A13" s="2"/>
      <x:c r="B13" s="2"/>
      <x:c r="C13" s="52" t="str">
        <x:v>Target contribution margin</x:v>
      </x:c>
      <x:c r="D13" s="52"/>
      <x:c r="E13" s="66" t="n">
        <x:f>IF(Forecast!E23="OK",Assumptions!E7,"n.a.")</x:f>
        <x:v>0.7</x:v>
      </x:c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</x:row>
    <x:row r="14" ht="21" customHeight="1">
      <x:c r="A14" s="2"/>
      <x:c r="B14" s="2"/>
      <x:c r="C14" s="2"/>
      <x:c r="D14" s="2"/>
      <x:c r="E14" s="60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</x:row>
    <x:row r="15" ht="21" customHeight="1">
      <x:c r="A15" s="2"/>
      <x:c r="B15" s="2"/>
      <x:c r="C15" s="2" t="str">
        <x:v>Contribution per team (expected usage)</x:v>
      </x:c>
      <x:c r="D15" s="2"/>
      <x:c r="E15" s="63" t="n">
        <x:f>IF(Forecast!E23="OK",E7*(1-E11)-E12-E9*E10,"n.a.")</x:f>
        <x:v>42.43000000000001</x:v>
      </x:c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</x:row>
    <x:row r="16" ht="21" customHeight="1">
      <x:c r="A16" s="2"/>
      <x:c r="B16" s="2"/>
      <x:c r="C16" s="52" t="str">
        <x:v>Contribution margin (expected usage)</x:v>
      </x:c>
      <x:c r="D16" s="52"/>
      <x:c r="E16" s="53" t="n">
        <x:f>IF(AND(ISNUMBER(E7),E7&gt;0),E15/E7,"n.a.")</x:f>
        <x:v>0.8659183673469389</x:v>
      </x:c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</x:row>
    <x:row r="17" ht="21" customHeight="1">
      <x:c r="A17" s="2"/>
      <x:c r="B17" s="2"/>
      <x:c r="C17" s="2" t="str">
        <x:v>Contribution per team (full allowance)</x:v>
      </x:c>
      <x:c r="D17" s="2"/>
      <x:c r="E17" s="63" t="n">
        <x:f>IF(Forecast!E23="OK",E7*(1-E11)-E12-E8*E10,"n.a.")</x:f>
        <x:v>39.230000000000004</x:v>
      </x:c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</x:row>
    <x:row r="18" ht="21" customHeight="1">
      <x:c r="A18" s="2"/>
      <x:c r="B18" s="2"/>
      <x:c r="C18" s="52" t="str">
        <x:v>Contribution margin (full allowance)</x:v>
      </x:c>
      <x:c r="D18" s="52"/>
      <x:c r="E18" s="53" t="n">
        <x:f>IF(AND(ISNUMBER(E7),E7&gt;0),E17/E7,"n.a.")</x:f>
        <x:v>0.8006122448979592</x:v>
      </x:c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</x:row>
    <x:row r="19" ht="21" customHeight="1">
      <x:c r="A19" s="2"/>
      <x:c r="B19" s="2"/>
      <x:c r="C19" s="2"/>
      <x:c r="D19" s="2"/>
      <x:c r="E19" s="60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</x:row>
    <x:row r="20" ht="21" customHeight="1">
      <x:c r="A20" s="2"/>
      <x:c r="B20" s="2"/>
      <x:c r="C20" s="2" t="str">
        <x:v>Maximum run cost at target margin</x:v>
      </x:c>
      <x:c r="D20" s="2"/>
      <x:c r="E20" s="39" t="n">
        <x:f>IF(COUNT(E7:E13)&lt;&gt;7,"n.a.",IF(AND(E8&gt;0,E13&gt;=0,E13&lt;1),(E7*(1-E13-E11)-E12)/E8,"n.a."))</x:f>
        <x:v>0.1293</x:v>
      </x:c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</x:row>
    <x:row r="21" ht="21" customHeight="1">
      <x:c r="A21" s="2"/>
      <x:c r="B21" s="2"/>
      <x:c r="C21" s="2" t="str">
        <x:v>Maximum inference cost at target</x:v>
      </x:c>
      <x:c r="D21" s="2"/>
      <x:c r="E21" s="59" t="n">
        <x:f>IF(ISNUMBER(E20),E20-Assumptions!E40-Assumptions!E44,"n.a.")</x:f>
        <x:v>0.1093</x:v>
      </x:c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</x:row>
    <x:row r="22" ht="21" customHeight="1">
      <x:c r="A22" s="2"/>
      <x:c r="B22" s="2"/>
      <x:c r="C22" s="2" t="str">
        <x:v>Minimum price at target (full usage)</x:v>
      </x:c>
      <x:c r="D22" s="2"/>
      <x:c r="E22" s="64" t="n">
        <x:f>IF(COUNT(E7:E13)&lt;&gt;7,"n.a.",IF(AND(E13&gt;=0,E13+E11&lt;1),(E8*E10+E12)/(1-E13-E11),"n.a."))</x:f>
        <x:v>30.74074074074074</x:v>
      </x:c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</x:row>
    <x:row r="23" ht="21" customHeight="1">
      <x:c r="A23" s="2"/>
      <x:c r="B23" s="2"/>
      <x:c r="C23" s="2" t="str">
        <x:v>Teams for cash breakeven (month 1)</x:v>
      </x:c>
      <x:c r="D23" s="2"/>
      <x:c r="E23" s="65" t="n">
        <x:f>IF(AND(ISNUMBER(E15),E15&gt;0),ROUNDUP((Assumptions!E56+Forecast!E45)/E15,0),"n.a.")</x:f>
        <x:v>33</x:v>
      </x:c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</x:row>
    <x:row r="24" ht="21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</x:row>
    <x:row r="25" ht="21" customHeight="1">
      <x:c r="A25" s="2"/>
      <x:c r="B25" s="2"/>
      <x:c r="C25" s="2" t="str">
        <x:v>Pricing decision</x:v>
      </x:c>
      <x:c r="D25" s="2"/>
      <x:c r="E25" s="22" t="str">
        <x:f>IF(AND(ISNUMBER(E18),ISNUMBER(E13)),IF(E18&gt;=E13,"Measure before launch","Reprice or reduce allowance"),"Missing inputs")</x:f>
        <x:v>Measure before launch</x:v>
      </x:c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</x:row>
    <x:row r="26" ht="21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</x:row>
    <x:row r="27" ht="21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</x:row>
    <x:row r="28" ht="21" customHeight="1">
      <x:c r="A28" s="2"/>
      <x:c r="B28" s="2"/>
      <x:c r="C28" s="2" t="str">
        <x:v>Full-allowance contribution margin</x:v>
      </x:c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</x:row>
    <x:row r="29" ht="21" customHeight="1">
      <x:c r="A29" s="2"/>
      <x:c r="B29" s="2"/>
      <x:c r="C29" s="2" t="str">
        <x:v>Rows: variable run cost. Columns: monthly team price. Fixed hosting is excluded.</x:v>
      </x:c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</x:row>
    <x:row r="30" ht="21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</x:row>
    <x:row r="31" ht="21" customHeight="1">
      <x:c r="A31" s="2"/>
      <x:c r="B31" s="2"/>
      <x:c r="C31" s="2"/>
      <x:c r="D31" s="2"/>
      <x:c r="E31" s="70" t="n">
        <x:f>E18</x:f>
        <x:v>0.8006122448979592</x:v>
      </x:c>
      <x:c r="F31" s="71" t="n">
        <x:v>29</x:v>
      </x:c>
      <x:c r="G31" s="71" t="n">
        <x:v>49</x:v>
      </x:c>
      <x:c r="H31" s="71" t="n">
        <x:v>79</x:v>
      </x:c>
      <x:c r="I31" s="71" t="n">
        <x:v>99</x:v>
      </x:c>
      <x:c r="J31" s="2"/>
      <x:c r="K31" s="2"/>
      <x:c r="L31" s="2"/>
      <x:c r="M31" s="2"/>
      <x:c r="N31" s="2"/>
      <x:c r="O31" s="2"/>
      <x:c r="P31" s="2"/>
      <x:c r="Q31" s="2"/>
      <x:c r="R31" s="2"/>
    </x:row>
    <x:row r="32" ht="21" customHeight="1">
      <x:c r="A32" s="2"/>
      <x:c r="B32" s="2"/>
      <x:c r="C32" s="2"/>
      <x:c r="D32" s="2"/>
      <x:c r="E32" s="69" t="n">
        <x:v>0.04</x:v>
      </x:c>
      <x:c r="F32" s="42" t="n">
        <x:f>IF(AND(ISNUMBER($E$8),ISNUMBER($E$11),ISNUMBER($E$12),F$31&gt;0),(F$31*(1-$E$11)-$E$12-$E$8*$E32)/F$31,"n.a.")</x:f>
        <x:v>0.8217241379310344</x:v>
      </x:c>
      <x:c r="G32" s="42" t="n">
        <x:f>IF(AND(ISNUMBER($E$8),ISNUMBER($E$11),ISNUMBER($E$12),G$31&gt;0),(G$31*(1-$E$11)-$E$12-$E$8*$E32)/G$31,"n.a.")</x:f>
        <x:v>0.8822448979591837</x:v>
      </x:c>
      <x:c r="H32" s="42" t="n">
        <x:f>IF(AND(ISNUMBER($E$8),ISNUMBER($E$11),ISNUMBER($E$12),H$31&gt;0),(H$31*(1-$E$11)-$E$12-$E$8*$E32)/H$31,"n.a.")</x:f>
        <x:v>0.9155696202531646</x:v>
      </x:c>
      <x:c r="I32" s="42" t="n">
        <x:f>IF(AND(ISNUMBER($E$8),ISNUMBER($E$11),ISNUMBER($E$12),I$31&gt;0),(I$31*(1-$E$11)-$E$12-$E$8*$E32)/I$31,"n.a.")</x:f>
        <x:v>0.9265656565656566</x:v>
      </x:c>
      <x:c r="J32" s="2"/>
      <x:c r="K32" s="2"/>
      <x:c r="L32" s="2"/>
      <x:c r="M32" s="2"/>
      <x:c r="N32" s="2"/>
      <x:c r="O32" s="2"/>
      <x:c r="P32" s="2"/>
      <x:c r="Q32" s="2"/>
      <x:c r="R32" s="2"/>
    </x:row>
    <x:row r="33" ht="21" customHeight="1">
      <x:c r="A33" s="2"/>
      <x:c r="B33" s="2"/>
      <x:c r="C33" s="2"/>
      <x:c r="D33" s="2"/>
      <x:c r="E33" s="69" t="n">
        <x:v>0.08</x:v>
      </x:c>
      <x:c r="F33" s="42" t="n">
        <x:f>IF(AND(ISNUMBER($E$8),ISNUMBER($E$11),ISNUMBER($E$12),F$31&gt;0),(F$31*(1-$E$11)-$E$12-$E$8*$E33)/F$31,"n.a.")</x:f>
        <x:v>0.6837931034482758</x:v>
      </x:c>
      <x:c r="G33" s="42" t="n">
        <x:f>IF(AND(ISNUMBER($E$8),ISNUMBER($E$11),ISNUMBER($E$12),G$31&gt;0),(G$31*(1-$E$11)-$E$12-$E$8*$E33)/G$31,"n.a.")</x:f>
        <x:v>0.8006122448979592</x:v>
      </x:c>
      <x:c r="H33" s="42" t="n">
        <x:f>IF(AND(ISNUMBER($E$8),ISNUMBER($E$11),ISNUMBER($E$12),H$31&gt;0),(H$31*(1-$E$11)-$E$12-$E$8*$E33)/H$31,"n.a.")</x:f>
        <x:v>0.8649367088607595</x:v>
      </x:c>
      <x:c r="I33" s="42" t="n">
        <x:f>IF(AND(ISNUMBER($E$8),ISNUMBER($E$11),ISNUMBER($E$12),I$31&gt;0),(I$31*(1-$E$11)-$E$12-$E$8*$E33)/I$31,"n.a.")</x:f>
        <x:v>0.8861616161616162</x:v>
      </x:c>
      <x:c r="J33" s="2"/>
      <x:c r="K33" s="2"/>
      <x:c r="L33" s="2"/>
      <x:c r="M33" s="2"/>
      <x:c r="N33" s="2"/>
      <x:c r="O33" s="2"/>
      <x:c r="P33" s="2"/>
      <x:c r="Q33" s="2"/>
      <x:c r="R33" s="2"/>
    </x:row>
    <x:row r="34" ht="21" customHeight="1">
      <x:c r="A34" s="2"/>
      <x:c r="B34" s="2"/>
      <x:c r="C34" s="2"/>
      <x:c r="D34" s="2"/>
      <x:c r="E34" s="69" t="n">
        <x:v>0.15</x:v>
      </x:c>
      <x:c r="F34" s="42" t="n">
        <x:f>IF(AND(ISNUMBER($E$8),ISNUMBER($E$11),ISNUMBER($E$12),F$31&gt;0),(F$31*(1-$E$11)-$E$12-$E$8*$E34)/F$31,"n.a.")</x:f>
        <x:v>0.4424137931034482</x:v>
      </x:c>
      <x:c r="G34" s="42" t="n">
        <x:f>IF(AND(ISNUMBER($E$8),ISNUMBER($E$11),ISNUMBER($E$12),G$31&gt;0),(G$31*(1-$E$11)-$E$12-$E$8*$E34)/G$31,"n.a.")</x:f>
        <x:v>0.6577551020408164</x:v>
      </x:c>
      <x:c r="H34" s="42" t="n">
        <x:f>IF(AND(ISNUMBER($E$8),ISNUMBER($E$11),ISNUMBER($E$12),H$31&gt;0),(H$31*(1-$E$11)-$E$12-$E$8*$E34)/H$31,"n.a.")</x:f>
        <x:v>0.7763291139240506</x:v>
      </x:c>
      <x:c r="I34" s="42" t="n">
        <x:f>IF(AND(ISNUMBER($E$8),ISNUMBER($E$11),ISNUMBER($E$12),I$31&gt;0),(I$31*(1-$E$11)-$E$12-$E$8*$E34)/I$31,"n.a.")</x:f>
        <x:v>0.8154545454545455</x:v>
      </x:c>
      <x:c r="J34" s="2"/>
      <x:c r="K34" s="2"/>
      <x:c r="L34" s="2"/>
      <x:c r="M34" s="2"/>
      <x:c r="N34" s="2"/>
      <x:c r="O34" s="2"/>
      <x:c r="P34" s="2"/>
      <x:c r="Q34" s="2"/>
      <x:c r="R34" s="2"/>
    </x:row>
    <x:row r="35" ht="21" customHeight="1">
      <x:c r="A35" s="2"/>
      <x:c r="B35" s="2"/>
      <x:c r="C35" s="2"/>
      <x:c r="D35" s="2"/>
      <x:c r="E35" s="69" t="n">
        <x:v>0.3</x:v>
      </x:c>
      <x:c r="F35" s="42" t="n">
        <x:f>IF(AND(ISNUMBER($E$8),ISNUMBER($E$11),ISNUMBER($E$12),F$31&gt;0),(F$31*(1-$E$11)-$E$12-$E$8*$E35)/F$31,"n.a.")</x:f>
        <x:v>-0.07482758620689661</x:v>
      </x:c>
      <x:c r="G35" s="42" t="n">
        <x:f>IF(AND(ISNUMBER($E$8),ISNUMBER($E$11),ISNUMBER($E$12),G$31&gt;0),(G$31*(1-$E$11)-$E$12-$E$8*$E35)/G$31,"n.a.")</x:f>
        <x:v>0.3516326530612246</x:v>
      </x:c>
      <x:c r="H35" s="42" t="n">
        <x:f>IF(AND(ISNUMBER($E$8),ISNUMBER($E$11),ISNUMBER($E$12),H$31&gt;0),(H$31*(1-$E$11)-$E$12-$E$8*$E35)/H$31,"n.a.")</x:f>
        <x:v>0.5864556962025316</x:v>
      </x:c>
      <x:c r="I35" s="42" t="n">
        <x:f>IF(AND(ISNUMBER($E$8),ISNUMBER($E$11),ISNUMBER($E$12),I$31&gt;0),(I$31*(1-$E$11)-$E$12-$E$8*$E35)/I$31,"n.a.")</x:f>
        <x:v>0.6639393939393939</x:v>
      </x:c>
      <x:c r="J35" s="2"/>
      <x:c r="K35" s="2"/>
      <x:c r="L35" s="2"/>
      <x:c r="M35" s="2"/>
      <x:c r="N35" s="2"/>
      <x:c r="O35" s="2"/>
      <x:c r="P35" s="2"/>
      <x:c r="Q35" s="2"/>
      <x:c r="R35" s="2"/>
    </x:row>
    <x:row r="36" ht="21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</x:row>
    <x:row r="37" ht="21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</x:row>
    <x:row r="38" ht="21" customHeight="1">
      <x:c r="A38" s="2"/>
      <x:c r="B38" s="2"/>
      <x:c r="C38" s="2" t="str">
        <x:v>Planning cost assumptions are not provider quotes. One run includes all model calls and verification.</x:v>
      </x:c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</x:row>
    <x:row r="39" ht="21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</x:row>
    <x:row r="40" ht="21" customHeight="1">
      <x:c r="A40" s="2"/>
      <x:c r="B40" s="2"/>
      <x:c r="C40" s="2" t="str">
        <x:v>Formula-based sensitivity, not an Excel What-If Data Table. Change allowances on Assumptions.</x:v>
      </x:c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</x:row>
    <x:row r="41" ht="21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</x:row>
    <x:row r="42" ht="21" customHeight="1">
      <x:c r="A42" s="2"/>
      <x:c r="B42" s="2"/>
      <x:c r="C42" s="2" t="str">
        <x:v>Commercial inference cost must be sourced from gateway billing/rates, even if hackathon credits pay the bill.</x:v>
      </x:c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</x:row>
    <x:row r="43" ht="21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</x:row>
    <x:row r="44" ht="21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</x:row>
    <x:row r="45" ht="21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</x:row>
    <x:row r="46" ht="21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2.5" hidden="0" customWidth="1"/>
    <x:col min="2" max="2" width="2.5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3" hidden="0" customWidth="1"/>
    <x:col min="15" max="15" width="13" hidden="0" customWidth="1"/>
    <x:col min="16" max="16" width="13" hidden="0" customWidth="1"/>
    <x:col min="17" max="17" width="3" hidden="0" customWidth="1"/>
    <x:col min="18" max="18" width="65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1" customHeight="1">
      <x:c r="A2" s="2"/>
      <x:c r="B2" s="2"/>
      <x:c r="C2" s="3" t="str">
        <x:v>Measured run costs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1" customHeight="1">
      <x:c r="A3" s="2"/>
      <x:c r="B3" s="2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2"/>
      <x:c r="R3" s="2"/>
    </x:row>
    <x:row r="4" ht="21" customHeight="1">
      <x:c r="A4" s="2"/>
      <x:c r="B4" s="2"/>
      <x:c r="C4" s="2" t="str">
        <x:v>Case selected</x:v>
      </x:c>
      <x:c r="D4" s="2"/>
      <x:c r="E4" s="7" t="str">
        <x:f>Assumptions!E4</x:f>
        <x:v>Base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1" customHeight="1">
      <x:c r="A5" s="2"/>
      <x:c r="B5" s="2"/>
      <x:c r="C5" s="2" t="str">
        <x:v>Runs entered</x:v>
      </x:c>
      <x:c r="D5" s="2"/>
      <x:c r="E5" s="22" t="n">
        <x:f>COUNTA(C13:C42)</x:f>
        <x:v>0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21" customHeight="1">
      <x:c r="A6" s="2"/>
      <x:c r="B6" s="2"/>
      <x:c r="C6" s="2" t="str">
        <x:v>Rows needing a cost/source or unique ID</x:v>
      </x:c>
      <x:c r="D6" s="2"/>
      <x:c r="E6" s="22" t="n">
        <x:f>SUM(M13:M42)</x:f>
        <x:v>0</x:v>
      </x:c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1" customHeight="1">
      <x:c r="A7" s="2"/>
      <x:c r="B7" s="2"/>
      <x:c r="C7" s="2" t="str">
        <x:v>Mean inference cost per run (USD)</x:v>
      </x:c>
      <x:c r="D7" s="2"/>
      <x:c r="E7" s="39" t="str">
        <x:f>IF(OR(E5=0,E6&gt;0),"n.a.",SUM(H13:H42)/E5)</x:f>
        <x:v>n.a.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</x:row>
    <x:row r="8" ht="21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</x:row>
    <x:row r="9" ht="21" customHeight="1">
      <x:c r="A9" s="2"/>
      <x:c r="B9" s="2"/>
      <x:c r="C9" s="2" t="str">
        <x:v>Enter all paid attempts, including failed/cancelled runs. Cost is all model calls for that run.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</x:row>
    <x:row r="10" ht="21" customHeight="1">
      <x:c r="A10" s="2"/>
      <x:c r="B10" s="2"/>
      <x:c r="C10" s="2" t="str">
        <x:v>Use billing or a documented gateway rate. Tokens or hackathon credits alone do not establish commercial cost.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</x:row>
    <x:row r="11" ht="21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</x:row>
    <x:row r="12" ht="32" customHeight="1">
      <x:c r="A12" s="2"/>
      <x:c r="B12" s="2"/>
      <x:c r="C12" s="40" t="str">
        <x:v>Run ID</x:v>
      </x:c>
      <x:c r="D12" s="40" t="str">
        <x:v>Completed UTC</x:v>
      </x:c>
      <x:c r="E12" s="40" t="str">
        <x:v>Outcome</x:v>
      </x:c>
      <x:c r="F12" s="40" t="str">
        <x:v>Input tokens</x:v>
      </x:c>
      <x:c r="G12" s="40" t="str">
        <x:v>Output tokens</x:v>
      </x:c>
      <x:c r="H12" s="40" t="str">
        <x:v>Inference USD</x:v>
      </x:c>
      <x:c r="I12" s="40" t="str">
        <x:v>Elapsed sec</x:v>
      </x:c>
      <x:c r="J12" s="40" t="str">
        <x:v>Git SHA</x:v>
      </x:c>
      <x:c r="K12" s="40" t="str">
        <x:v>Trace URL</x:v>
      </x:c>
      <x:c r="L12" s="40" t="str">
        <x:v>Cost source</x:v>
      </x:c>
      <x:c r="M12" s="40" t="str">
        <x:v>Invalid row</x:v>
      </x:c>
      <x:c r="N12" s="2"/>
      <x:c r="O12" s="2"/>
      <x:c r="P12" s="2"/>
      <x:c r="Q12" s="2"/>
      <x:c r="R12" s="2"/>
    </x:row>
    <x:row r="13" ht="21" customHeight="1">
      <x:c r="A13" s="2"/>
      <x:c r="B13" s="2"/>
      <x:c r="C13" s="11"/>
      <x:c r="D13" s="11"/>
      <x:c r="E13" s="11"/>
      <x:c r="F13" s="11"/>
      <x:c r="G13" s="11"/>
      <x:c r="H13" s="35"/>
      <x:c r="I13" s="11"/>
      <x:c r="J13" s="11"/>
      <x:c r="K13" s="11"/>
      <x:c r="L13" s="11"/>
      <x:c r="M13" s="22" t="n">
        <x:f>IF(COUNTA(C13:L13)=0,0,IF(OR(C13="",COUNTIF($C$13:$C$42,C13)&lt;&gt;1,NOT(ISNUMBER(H13)),H13&lt;0,L13=""),1,0))</x:f>
        <x:v>0</x:v>
      </x:c>
      <x:c r="N13" s="2"/>
      <x:c r="O13" s="2"/>
      <x:c r="P13" s="2"/>
      <x:c r="Q13" s="2"/>
      <x:c r="R13" s="2"/>
    </x:row>
    <x:row r="14" ht="21" customHeight="1">
      <x:c r="A14" s="2"/>
      <x:c r="B14" s="2"/>
      <x:c r="C14" s="11"/>
      <x:c r="D14" s="11"/>
      <x:c r="E14" s="11"/>
      <x:c r="F14" s="11"/>
      <x:c r="G14" s="11"/>
      <x:c r="H14" s="35"/>
      <x:c r="I14" s="11"/>
      <x:c r="J14" s="11"/>
      <x:c r="K14" s="11"/>
      <x:c r="L14" s="11"/>
      <x:c r="M14" s="22" t="n">
        <x:f>IF(COUNTA(C14:L14)=0,0,IF(OR(C14="",COUNTIF($C$13:$C$42,C14)&lt;&gt;1,NOT(ISNUMBER(H14)),H14&lt;0,L14=""),1,0))</x:f>
        <x:v>0</x:v>
      </x:c>
      <x:c r="N14" s="2"/>
      <x:c r="O14" s="2"/>
      <x:c r="P14" s="2"/>
      <x:c r="Q14" s="2"/>
      <x:c r="R14" s="2"/>
    </x:row>
    <x:row r="15" ht="21" customHeight="1">
      <x:c r="A15" s="2"/>
      <x:c r="B15" s="2"/>
      <x:c r="C15" s="11"/>
      <x:c r="D15" s="11"/>
      <x:c r="E15" s="11"/>
      <x:c r="F15" s="11"/>
      <x:c r="G15" s="11"/>
      <x:c r="H15" s="35"/>
      <x:c r="I15" s="11"/>
      <x:c r="J15" s="11"/>
      <x:c r="K15" s="11"/>
      <x:c r="L15" s="11"/>
      <x:c r="M15" s="22" t="n">
        <x:f>IF(COUNTA(C15:L15)=0,0,IF(OR(C15="",COUNTIF($C$13:$C$42,C15)&lt;&gt;1,NOT(ISNUMBER(H15)),H15&lt;0,L15=""),1,0))</x:f>
        <x:v>0</x:v>
      </x:c>
      <x:c r="N15" s="2"/>
      <x:c r="O15" s="2"/>
      <x:c r="P15" s="2"/>
      <x:c r="Q15" s="2"/>
      <x:c r="R15" s="2"/>
    </x:row>
    <x:row r="16" ht="21" customHeight="1">
      <x:c r="A16" s="2"/>
      <x:c r="B16" s="2"/>
      <x:c r="C16" s="11"/>
      <x:c r="D16" s="11"/>
      <x:c r="E16" s="11"/>
      <x:c r="F16" s="11"/>
      <x:c r="G16" s="11"/>
      <x:c r="H16" s="35"/>
      <x:c r="I16" s="11"/>
      <x:c r="J16" s="11"/>
      <x:c r="K16" s="11"/>
      <x:c r="L16" s="11"/>
      <x:c r="M16" s="22" t="n">
        <x:f>IF(COUNTA(C16:L16)=0,0,IF(OR(C16="",COUNTIF($C$13:$C$42,C16)&lt;&gt;1,NOT(ISNUMBER(H16)),H16&lt;0,L16=""),1,0))</x:f>
        <x:v>0</x:v>
      </x:c>
      <x:c r="N16" s="2"/>
      <x:c r="O16" s="2"/>
      <x:c r="P16" s="2"/>
      <x:c r="Q16" s="2"/>
      <x:c r="R16" s="2"/>
    </x:row>
    <x:row r="17" ht="21" customHeight="1">
      <x:c r="A17" s="2"/>
      <x:c r="B17" s="2"/>
      <x:c r="C17" s="11"/>
      <x:c r="D17" s="11"/>
      <x:c r="E17" s="11"/>
      <x:c r="F17" s="11"/>
      <x:c r="G17" s="11"/>
      <x:c r="H17" s="35"/>
      <x:c r="I17" s="11"/>
      <x:c r="J17" s="11"/>
      <x:c r="K17" s="11"/>
      <x:c r="L17" s="11"/>
      <x:c r="M17" s="22" t="n">
        <x:f>IF(COUNTA(C17:L17)=0,0,IF(OR(C17="",COUNTIF($C$13:$C$42,C17)&lt;&gt;1,NOT(ISNUMBER(H17)),H17&lt;0,L17=""),1,0))</x:f>
        <x:v>0</x:v>
      </x:c>
      <x:c r="N17" s="2"/>
      <x:c r="O17" s="2"/>
      <x:c r="P17" s="2"/>
      <x:c r="Q17" s="2"/>
      <x:c r="R17" s="2"/>
    </x:row>
    <x:row r="18" ht="21" customHeight="1">
      <x:c r="A18" s="2"/>
      <x:c r="B18" s="2"/>
      <x:c r="C18" s="11"/>
      <x:c r="D18" s="11"/>
      <x:c r="E18" s="11"/>
      <x:c r="F18" s="11"/>
      <x:c r="G18" s="11"/>
      <x:c r="H18" s="35"/>
      <x:c r="I18" s="11"/>
      <x:c r="J18" s="11"/>
      <x:c r="K18" s="11"/>
      <x:c r="L18" s="11"/>
      <x:c r="M18" s="22" t="n">
        <x:f>IF(COUNTA(C18:L18)=0,0,IF(OR(C18="",COUNTIF($C$13:$C$42,C18)&lt;&gt;1,NOT(ISNUMBER(H18)),H18&lt;0,L18=""),1,0))</x:f>
        <x:v>0</x:v>
      </x:c>
      <x:c r="N18" s="2"/>
      <x:c r="O18" s="2"/>
      <x:c r="P18" s="2"/>
      <x:c r="Q18" s="2"/>
      <x:c r="R18" s="2"/>
    </x:row>
    <x:row r="19" ht="21" customHeight="1">
      <x:c r="A19" s="2"/>
      <x:c r="B19" s="2"/>
      <x:c r="C19" s="11"/>
      <x:c r="D19" s="11"/>
      <x:c r="E19" s="11"/>
      <x:c r="F19" s="11"/>
      <x:c r="G19" s="11"/>
      <x:c r="H19" s="35"/>
      <x:c r="I19" s="11"/>
      <x:c r="J19" s="11"/>
      <x:c r="K19" s="11"/>
      <x:c r="L19" s="11"/>
      <x:c r="M19" s="22" t="n">
        <x:f>IF(COUNTA(C19:L19)=0,0,IF(OR(C19="",COUNTIF($C$13:$C$42,C19)&lt;&gt;1,NOT(ISNUMBER(H19)),H19&lt;0,L19=""),1,0))</x:f>
        <x:v>0</x:v>
      </x:c>
      <x:c r="N19" s="2"/>
      <x:c r="O19" s="2"/>
      <x:c r="P19" s="2"/>
      <x:c r="Q19" s="2"/>
      <x:c r="R19" s="2"/>
    </x:row>
    <x:row r="20" ht="21" customHeight="1">
      <x:c r="A20" s="2"/>
      <x:c r="B20" s="2"/>
      <x:c r="C20" s="11"/>
      <x:c r="D20" s="11"/>
      <x:c r="E20" s="11"/>
      <x:c r="F20" s="11"/>
      <x:c r="G20" s="11"/>
      <x:c r="H20" s="35"/>
      <x:c r="I20" s="11"/>
      <x:c r="J20" s="11"/>
      <x:c r="K20" s="11"/>
      <x:c r="L20" s="11"/>
      <x:c r="M20" s="22" t="n">
        <x:f>IF(COUNTA(C20:L20)=0,0,IF(OR(C20="",COUNTIF($C$13:$C$42,C20)&lt;&gt;1,NOT(ISNUMBER(H20)),H20&lt;0,L20=""),1,0))</x:f>
        <x:v>0</x:v>
      </x:c>
      <x:c r="N20" s="2"/>
      <x:c r="O20" s="2"/>
      <x:c r="P20" s="2"/>
      <x:c r="Q20" s="2"/>
      <x:c r="R20" s="2"/>
    </x:row>
    <x:row r="21" ht="21" customHeight="1">
      <x:c r="A21" s="2"/>
      <x:c r="B21" s="2"/>
      <x:c r="C21" s="11"/>
      <x:c r="D21" s="11"/>
      <x:c r="E21" s="11"/>
      <x:c r="F21" s="11"/>
      <x:c r="G21" s="11"/>
      <x:c r="H21" s="35"/>
      <x:c r="I21" s="11"/>
      <x:c r="J21" s="11"/>
      <x:c r="K21" s="11"/>
      <x:c r="L21" s="11"/>
      <x:c r="M21" s="22" t="n">
        <x:f>IF(COUNTA(C21:L21)=0,0,IF(OR(C21="",COUNTIF($C$13:$C$42,C21)&lt;&gt;1,NOT(ISNUMBER(H21)),H21&lt;0,L21=""),1,0))</x:f>
        <x:v>0</x:v>
      </x:c>
      <x:c r="N21" s="2"/>
      <x:c r="O21" s="2"/>
      <x:c r="P21" s="2"/>
      <x:c r="Q21" s="2"/>
      <x:c r="R21" s="2"/>
    </x:row>
    <x:row r="22" ht="21" customHeight="1">
      <x:c r="A22" s="2"/>
      <x:c r="B22" s="2"/>
      <x:c r="C22" s="11"/>
      <x:c r="D22" s="11"/>
      <x:c r="E22" s="11"/>
      <x:c r="F22" s="11"/>
      <x:c r="G22" s="11"/>
      <x:c r="H22" s="35"/>
      <x:c r="I22" s="11"/>
      <x:c r="J22" s="11"/>
      <x:c r="K22" s="11"/>
      <x:c r="L22" s="11"/>
      <x:c r="M22" s="22" t="n">
        <x:f>IF(COUNTA(C22:L22)=0,0,IF(OR(C22="",COUNTIF($C$13:$C$42,C22)&lt;&gt;1,NOT(ISNUMBER(H22)),H22&lt;0,L22=""),1,0))</x:f>
        <x:v>0</x:v>
      </x:c>
      <x:c r="N22" s="2"/>
      <x:c r="O22" s="2"/>
      <x:c r="P22" s="2"/>
      <x:c r="Q22" s="2"/>
      <x:c r="R22" s="2"/>
    </x:row>
    <x:row r="23" ht="21" customHeight="1">
      <x:c r="A23" s="2"/>
      <x:c r="B23" s="2"/>
      <x:c r="C23" s="11"/>
      <x:c r="D23" s="11"/>
      <x:c r="E23" s="11"/>
      <x:c r="F23" s="11"/>
      <x:c r="G23" s="11"/>
      <x:c r="H23" s="35"/>
      <x:c r="I23" s="11"/>
      <x:c r="J23" s="11"/>
      <x:c r="K23" s="11"/>
      <x:c r="L23" s="11"/>
      <x:c r="M23" s="22" t="n">
        <x:f>IF(COUNTA(C23:L23)=0,0,IF(OR(C23="",COUNTIF($C$13:$C$42,C23)&lt;&gt;1,NOT(ISNUMBER(H23)),H23&lt;0,L23=""),1,0))</x:f>
        <x:v>0</x:v>
      </x:c>
      <x:c r="N23" s="2"/>
      <x:c r="O23" s="2"/>
      <x:c r="P23" s="2"/>
      <x:c r="Q23" s="2"/>
      <x:c r="R23" s="2"/>
    </x:row>
    <x:row r="24" ht="21" customHeight="1">
      <x:c r="A24" s="2"/>
      <x:c r="B24" s="2"/>
      <x:c r="C24" s="11"/>
      <x:c r="D24" s="11"/>
      <x:c r="E24" s="11"/>
      <x:c r="F24" s="11"/>
      <x:c r="G24" s="11"/>
      <x:c r="H24" s="35"/>
      <x:c r="I24" s="11"/>
      <x:c r="J24" s="11"/>
      <x:c r="K24" s="11"/>
      <x:c r="L24" s="11"/>
      <x:c r="M24" s="22" t="n">
        <x:f>IF(COUNTA(C24:L24)=0,0,IF(OR(C24="",COUNTIF($C$13:$C$42,C24)&lt;&gt;1,NOT(ISNUMBER(H24)),H24&lt;0,L24=""),1,0))</x:f>
        <x:v>0</x:v>
      </x:c>
      <x:c r="N24" s="2"/>
      <x:c r="O24" s="2"/>
      <x:c r="P24" s="2"/>
      <x:c r="Q24" s="2"/>
      <x:c r="R24" s="2"/>
    </x:row>
    <x:row r="25" ht="21" customHeight="1">
      <x:c r="A25" s="2"/>
      <x:c r="B25" s="2"/>
      <x:c r="C25" s="11"/>
      <x:c r="D25" s="11"/>
      <x:c r="E25" s="11"/>
      <x:c r="F25" s="11"/>
      <x:c r="G25" s="11"/>
      <x:c r="H25" s="35"/>
      <x:c r="I25" s="11"/>
      <x:c r="J25" s="11"/>
      <x:c r="K25" s="11"/>
      <x:c r="L25" s="11"/>
      <x:c r="M25" s="22" t="n">
        <x:f>IF(COUNTA(C25:L25)=0,0,IF(OR(C25="",COUNTIF($C$13:$C$42,C25)&lt;&gt;1,NOT(ISNUMBER(H25)),H25&lt;0,L25=""),1,0))</x:f>
        <x:v>0</x:v>
      </x:c>
      <x:c r="N25" s="2"/>
      <x:c r="O25" s="2"/>
      <x:c r="P25" s="2"/>
      <x:c r="Q25" s="2"/>
      <x:c r="R25" s="2"/>
    </x:row>
    <x:row r="26" ht="21" customHeight="1">
      <x:c r="A26" s="2"/>
      <x:c r="B26" s="2"/>
      <x:c r="C26" s="11"/>
      <x:c r="D26" s="11"/>
      <x:c r="E26" s="11"/>
      <x:c r="F26" s="11"/>
      <x:c r="G26" s="11"/>
      <x:c r="H26" s="35"/>
      <x:c r="I26" s="11"/>
      <x:c r="J26" s="11"/>
      <x:c r="K26" s="11"/>
      <x:c r="L26" s="11"/>
      <x:c r="M26" s="22" t="n">
        <x:f>IF(COUNTA(C26:L26)=0,0,IF(OR(C26="",COUNTIF($C$13:$C$42,C26)&lt;&gt;1,NOT(ISNUMBER(H26)),H26&lt;0,L26=""),1,0))</x:f>
        <x:v>0</x:v>
      </x:c>
      <x:c r="N26" s="2"/>
      <x:c r="O26" s="2"/>
      <x:c r="P26" s="2"/>
      <x:c r="Q26" s="2"/>
      <x:c r="R26" s="2"/>
    </x:row>
    <x:row r="27" ht="21" customHeight="1">
      <x:c r="A27" s="2"/>
      <x:c r="B27" s="2"/>
      <x:c r="C27" s="11"/>
      <x:c r="D27" s="11"/>
      <x:c r="E27" s="11"/>
      <x:c r="F27" s="11"/>
      <x:c r="G27" s="11"/>
      <x:c r="H27" s="35"/>
      <x:c r="I27" s="11"/>
      <x:c r="J27" s="11"/>
      <x:c r="K27" s="11"/>
      <x:c r="L27" s="11"/>
      <x:c r="M27" s="22" t="n">
        <x:f>IF(COUNTA(C27:L27)=0,0,IF(OR(C27="",COUNTIF($C$13:$C$42,C27)&lt;&gt;1,NOT(ISNUMBER(H27)),H27&lt;0,L27=""),1,0))</x:f>
        <x:v>0</x:v>
      </x:c>
      <x:c r="N27" s="2"/>
      <x:c r="O27" s="2"/>
      <x:c r="P27" s="2"/>
      <x:c r="Q27" s="2"/>
      <x:c r="R27" s="2"/>
    </x:row>
    <x:row r="28" ht="21" customHeight="1">
      <x:c r="A28" s="2"/>
      <x:c r="B28" s="2"/>
      <x:c r="C28" s="11"/>
      <x:c r="D28" s="11"/>
      <x:c r="E28" s="11"/>
      <x:c r="F28" s="11"/>
      <x:c r="G28" s="11"/>
      <x:c r="H28" s="35"/>
      <x:c r="I28" s="11"/>
      <x:c r="J28" s="11"/>
      <x:c r="K28" s="11"/>
      <x:c r="L28" s="11"/>
      <x:c r="M28" s="22" t="n">
        <x:f>IF(COUNTA(C28:L28)=0,0,IF(OR(C28="",COUNTIF($C$13:$C$42,C28)&lt;&gt;1,NOT(ISNUMBER(H28)),H28&lt;0,L28=""),1,0))</x:f>
        <x:v>0</x:v>
      </x:c>
      <x:c r="N28" s="2"/>
      <x:c r="O28" s="2"/>
      <x:c r="P28" s="2"/>
      <x:c r="Q28" s="2"/>
      <x:c r="R28" s="2"/>
    </x:row>
    <x:row r="29" ht="21" customHeight="1">
      <x:c r="A29" s="2"/>
      <x:c r="B29" s="2"/>
      <x:c r="C29" s="11"/>
      <x:c r="D29" s="11"/>
      <x:c r="E29" s="11"/>
      <x:c r="F29" s="11"/>
      <x:c r="G29" s="11"/>
      <x:c r="H29" s="35"/>
      <x:c r="I29" s="11"/>
      <x:c r="J29" s="11"/>
      <x:c r="K29" s="11"/>
      <x:c r="L29" s="11"/>
      <x:c r="M29" s="22" t="n">
        <x:f>IF(COUNTA(C29:L29)=0,0,IF(OR(C29="",COUNTIF($C$13:$C$42,C29)&lt;&gt;1,NOT(ISNUMBER(H29)),H29&lt;0,L29=""),1,0))</x:f>
        <x:v>0</x:v>
      </x:c>
      <x:c r="N29" s="2"/>
      <x:c r="O29" s="2"/>
      <x:c r="P29" s="2"/>
      <x:c r="Q29" s="2"/>
      <x:c r="R29" s="2"/>
    </x:row>
    <x:row r="30" ht="21" customHeight="1">
      <x:c r="A30" s="2"/>
      <x:c r="B30" s="2"/>
      <x:c r="C30" s="11"/>
      <x:c r="D30" s="11"/>
      <x:c r="E30" s="11"/>
      <x:c r="F30" s="11"/>
      <x:c r="G30" s="11"/>
      <x:c r="H30" s="35"/>
      <x:c r="I30" s="11"/>
      <x:c r="J30" s="11"/>
      <x:c r="K30" s="11"/>
      <x:c r="L30" s="11"/>
      <x:c r="M30" s="22" t="n">
        <x:f>IF(COUNTA(C30:L30)=0,0,IF(OR(C30="",COUNTIF($C$13:$C$42,C30)&lt;&gt;1,NOT(ISNUMBER(H30)),H30&lt;0,L30=""),1,0))</x:f>
        <x:v>0</x:v>
      </x:c>
      <x:c r="N30" s="2"/>
      <x:c r="O30" s="2"/>
      <x:c r="P30" s="2"/>
      <x:c r="Q30" s="2"/>
      <x:c r="R30" s="2"/>
    </x:row>
    <x:row r="31" ht="21" customHeight="1">
      <x:c r="A31" s="2"/>
      <x:c r="B31" s="2"/>
      <x:c r="C31" s="11"/>
      <x:c r="D31" s="11"/>
      <x:c r="E31" s="11"/>
      <x:c r="F31" s="11"/>
      <x:c r="G31" s="11"/>
      <x:c r="H31" s="35"/>
      <x:c r="I31" s="11"/>
      <x:c r="J31" s="11"/>
      <x:c r="K31" s="11"/>
      <x:c r="L31" s="11"/>
      <x:c r="M31" s="22" t="n">
        <x:f>IF(COUNTA(C31:L31)=0,0,IF(OR(C31="",COUNTIF($C$13:$C$42,C31)&lt;&gt;1,NOT(ISNUMBER(H31)),H31&lt;0,L31=""),1,0))</x:f>
        <x:v>0</x:v>
      </x:c>
      <x:c r="N31" s="2"/>
      <x:c r="O31" s="2"/>
      <x:c r="P31" s="2"/>
      <x:c r="Q31" s="2"/>
      <x:c r="R31" s="2"/>
    </x:row>
    <x:row r="32" ht="21" customHeight="1">
      <x:c r="A32" s="2"/>
      <x:c r="B32" s="2"/>
      <x:c r="C32" s="11"/>
      <x:c r="D32" s="11"/>
      <x:c r="E32" s="11"/>
      <x:c r="F32" s="11"/>
      <x:c r="G32" s="11"/>
      <x:c r="H32" s="35"/>
      <x:c r="I32" s="11"/>
      <x:c r="J32" s="11"/>
      <x:c r="K32" s="11"/>
      <x:c r="L32" s="11"/>
      <x:c r="M32" s="22" t="n">
        <x:f>IF(COUNTA(C32:L32)=0,0,IF(OR(C32="",COUNTIF($C$13:$C$42,C32)&lt;&gt;1,NOT(ISNUMBER(H32)),H32&lt;0,L32=""),1,0))</x:f>
        <x:v>0</x:v>
      </x:c>
      <x:c r="N32" s="2"/>
      <x:c r="O32" s="2"/>
      <x:c r="P32" s="2"/>
      <x:c r="Q32" s="2"/>
      <x:c r="R32" s="2"/>
    </x:row>
    <x:row r="33" ht="21" customHeight="1">
      <x:c r="A33" s="2"/>
      <x:c r="B33" s="2"/>
      <x:c r="C33" s="11"/>
      <x:c r="D33" s="11"/>
      <x:c r="E33" s="11"/>
      <x:c r="F33" s="11"/>
      <x:c r="G33" s="11"/>
      <x:c r="H33" s="35"/>
      <x:c r="I33" s="11"/>
      <x:c r="J33" s="11"/>
      <x:c r="K33" s="11"/>
      <x:c r="L33" s="11"/>
      <x:c r="M33" s="22" t="n">
        <x:f>IF(COUNTA(C33:L33)=0,0,IF(OR(C33="",COUNTIF($C$13:$C$42,C33)&lt;&gt;1,NOT(ISNUMBER(H33)),H33&lt;0,L33=""),1,0))</x:f>
        <x:v>0</x:v>
      </x:c>
      <x:c r="N33" s="2"/>
      <x:c r="O33" s="2"/>
      <x:c r="P33" s="2"/>
      <x:c r="Q33" s="2"/>
      <x:c r="R33" s="2"/>
    </x:row>
    <x:row r="34" ht="21" customHeight="1">
      <x:c r="A34" s="2"/>
      <x:c r="B34" s="2"/>
      <x:c r="C34" s="11"/>
      <x:c r="D34" s="11"/>
      <x:c r="E34" s="11"/>
      <x:c r="F34" s="11"/>
      <x:c r="G34" s="11"/>
      <x:c r="H34" s="35"/>
      <x:c r="I34" s="11"/>
      <x:c r="J34" s="11"/>
      <x:c r="K34" s="11"/>
      <x:c r="L34" s="11"/>
      <x:c r="M34" s="22" t="n">
        <x:f>IF(COUNTA(C34:L34)=0,0,IF(OR(C34="",COUNTIF($C$13:$C$42,C34)&lt;&gt;1,NOT(ISNUMBER(H34)),H34&lt;0,L34=""),1,0))</x:f>
        <x:v>0</x:v>
      </x:c>
      <x:c r="N34" s="2"/>
      <x:c r="O34" s="2"/>
      <x:c r="P34" s="2"/>
      <x:c r="Q34" s="2"/>
      <x:c r="R34" s="2"/>
    </x:row>
    <x:row r="35" ht="21" customHeight="1">
      <x:c r="A35" s="2"/>
      <x:c r="B35" s="2"/>
      <x:c r="C35" s="11"/>
      <x:c r="D35" s="11"/>
      <x:c r="E35" s="11"/>
      <x:c r="F35" s="11"/>
      <x:c r="G35" s="11"/>
      <x:c r="H35" s="35"/>
      <x:c r="I35" s="11"/>
      <x:c r="J35" s="11"/>
      <x:c r="K35" s="11"/>
      <x:c r="L35" s="11"/>
      <x:c r="M35" s="22" t="n">
        <x:f>IF(COUNTA(C35:L35)=0,0,IF(OR(C35="",COUNTIF($C$13:$C$42,C35)&lt;&gt;1,NOT(ISNUMBER(H35)),H35&lt;0,L35=""),1,0))</x:f>
        <x:v>0</x:v>
      </x:c>
      <x:c r="N35" s="2"/>
      <x:c r="O35" s="2"/>
      <x:c r="P35" s="2"/>
      <x:c r="Q35" s="2"/>
      <x:c r="R35" s="2"/>
    </x:row>
    <x:row r="36" ht="21" customHeight="1">
      <x:c r="A36" s="2"/>
      <x:c r="B36" s="2"/>
      <x:c r="C36" s="11"/>
      <x:c r="D36" s="11"/>
      <x:c r="E36" s="11"/>
      <x:c r="F36" s="11"/>
      <x:c r="G36" s="11"/>
      <x:c r="H36" s="35"/>
      <x:c r="I36" s="11"/>
      <x:c r="J36" s="11"/>
      <x:c r="K36" s="11"/>
      <x:c r="L36" s="11"/>
      <x:c r="M36" s="22" t="n">
        <x:f>IF(COUNTA(C36:L36)=0,0,IF(OR(C36="",COUNTIF($C$13:$C$42,C36)&lt;&gt;1,NOT(ISNUMBER(H36)),H36&lt;0,L36=""),1,0))</x:f>
        <x:v>0</x:v>
      </x:c>
      <x:c r="N36" s="2"/>
      <x:c r="O36" s="2"/>
      <x:c r="P36" s="2"/>
      <x:c r="Q36" s="2"/>
      <x:c r="R36" s="2"/>
    </x:row>
    <x:row r="37" ht="21" customHeight="1">
      <x:c r="A37" s="2"/>
      <x:c r="B37" s="2"/>
      <x:c r="C37" s="11"/>
      <x:c r="D37" s="11"/>
      <x:c r="E37" s="11"/>
      <x:c r="F37" s="11"/>
      <x:c r="G37" s="11"/>
      <x:c r="H37" s="35"/>
      <x:c r="I37" s="11"/>
      <x:c r="J37" s="11"/>
      <x:c r="K37" s="11"/>
      <x:c r="L37" s="11"/>
      <x:c r="M37" s="22" t="n">
        <x:f>IF(COUNTA(C37:L37)=0,0,IF(OR(C37="",COUNTIF($C$13:$C$42,C37)&lt;&gt;1,NOT(ISNUMBER(H37)),H37&lt;0,L37=""),1,0))</x:f>
        <x:v>0</x:v>
      </x:c>
      <x:c r="N37" s="2"/>
      <x:c r="O37" s="2"/>
      <x:c r="P37" s="2"/>
      <x:c r="Q37" s="2"/>
      <x:c r="R37" s="2"/>
    </x:row>
    <x:row r="38" ht="21" customHeight="1">
      <x:c r="A38" s="2"/>
      <x:c r="B38" s="2"/>
      <x:c r="C38" s="11"/>
      <x:c r="D38" s="11"/>
      <x:c r="E38" s="11"/>
      <x:c r="F38" s="11"/>
      <x:c r="G38" s="11"/>
      <x:c r="H38" s="35"/>
      <x:c r="I38" s="11"/>
      <x:c r="J38" s="11"/>
      <x:c r="K38" s="11"/>
      <x:c r="L38" s="11"/>
      <x:c r="M38" s="22" t="n">
        <x:f>IF(COUNTA(C38:L38)=0,0,IF(OR(C38="",COUNTIF($C$13:$C$42,C38)&lt;&gt;1,NOT(ISNUMBER(H38)),H38&lt;0,L38=""),1,0))</x:f>
        <x:v>0</x:v>
      </x:c>
      <x:c r="N38" s="2"/>
      <x:c r="O38" s="2"/>
      <x:c r="P38" s="2"/>
      <x:c r="Q38" s="2"/>
      <x:c r="R38" s="2"/>
    </x:row>
    <x:row r="39" ht="21" customHeight="1">
      <x:c r="A39" s="2"/>
      <x:c r="B39" s="2"/>
      <x:c r="C39" s="11"/>
      <x:c r="D39" s="11"/>
      <x:c r="E39" s="11"/>
      <x:c r="F39" s="11"/>
      <x:c r="G39" s="11"/>
      <x:c r="H39" s="35"/>
      <x:c r="I39" s="11"/>
      <x:c r="J39" s="11"/>
      <x:c r="K39" s="11"/>
      <x:c r="L39" s="11"/>
      <x:c r="M39" s="22" t="n">
        <x:f>IF(COUNTA(C39:L39)=0,0,IF(OR(C39="",COUNTIF($C$13:$C$42,C39)&lt;&gt;1,NOT(ISNUMBER(H39)),H39&lt;0,L39=""),1,0))</x:f>
        <x:v>0</x:v>
      </x:c>
      <x:c r="N39" s="2"/>
      <x:c r="O39" s="2"/>
      <x:c r="P39" s="2"/>
      <x:c r="Q39" s="2"/>
      <x:c r="R39" s="2"/>
    </x:row>
    <x:row r="40" ht="21" customHeight="1">
      <x:c r="A40" s="2"/>
      <x:c r="B40" s="2"/>
      <x:c r="C40" s="11"/>
      <x:c r="D40" s="11"/>
      <x:c r="E40" s="11"/>
      <x:c r="F40" s="11"/>
      <x:c r="G40" s="11"/>
      <x:c r="H40" s="35"/>
      <x:c r="I40" s="11"/>
      <x:c r="J40" s="11"/>
      <x:c r="K40" s="11"/>
      <x:c r="L40" s="11"/>
      <x:c r="M40" s="22" t="n">
        <x:f>IF(COUNTA(C40:L40)=0,0,IF(OR(C40="",COUNTIF($C$13:$C$42,C40)&lt;&gt;1,NOT(ISNUMBER(H40)),H40&lt;0,L40=""),1,0))</x:f>
        <x:v>0</x:v>
      </x:c>
      <x:c r="N40" s="2"/>
      <x:c r="O40" s="2"/>
      <x:c r="P40" s="2"/>
      <x:c r="Q40" s="2"/>
      <x:c r="R40" s="2"/>
    </x:row>
    <x:row r="41" ht="21" customHeight="1">
      <x:c r="A41" s="2"/>
      <x:c r="B41" s="2"/>
      <x:c r="C41" s="11"/>
      <x:c r="D41" s="11"/>
      <x:c r="E41" s="11"/>
      <x:c r="F41" s="11"/>
      <x:c r="G41" s="11"/>
      <x:c r="H41" s="35"/>
      <x:c r="I41" s="11"/>
      <x:c r="J41" s="11"/>
      <x:c r="K41" s="11"/>
      <x:c r="L41" s="11"/>
      <x:c r="M41" s="22" t="n">
        <x:f>IF(COUNTA(C41:L41)=0,0,IF(OR(C41="",COUNTIF($C$13:$C$42,C41)&lt;&gt;1,NOT(ISNUMBER(H41)),H41&lt;0,L41=""),1,0))</x:f>
        <x:v>0</x:v>
      </x:c>
      <x:c r="N41" s="2"/>
      <x:c r="O41" s="2"/>
      <x:c r="P41" s="2"/>
      <x:c r="Q41" s="2"/>
      <x:c r="R41" s="2"/>
    </x:row>
    <x:row r="42" ht="21" customHeight="1">
      <x:c r="A42" s="2"/>
      <x:c r="B42" s="2"/>
      <x:c r="C42" s="11"/>
      <x:c r="D42" s="11"/>
      <x:c r="E42" s="11"/>
      <x:c r="F42" s="11"/>
      <x:c r="G42" s="11"/>
      <x:c r="H42" s="35"/>
      <x:c r="I42" s="11"/>
      <x:c r="J42" s="11"/>
      <x:c r="K42" s="11"/>
      <x:c r="L42" s="11"/>
      <x:c r="M42" s="22" t="n">
        <x:f>IF(COUNTA(C42:L42)=0,0,IF(OR(C42="",COUNTIF($C$13:$C$42,C42)&lt;&gt;1,NOT(ISNUMBER(H42)),H42&lt;0,L42=""),1,0))</x:f>
        <x:v>0</x:v>
      </x:c>
      <x:c r="N42" s="2"/>
      <x:c r="O42" s="2"/>
      <x:c r="P42" s="2"/>
      <x:c r="Q42" s="2"/>
      <x:c r="R42" s="2"/>
    </x:row>
    <x:row r="43" ht="21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</x:row>
    <x:row r="44" ht="21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</x:row>
    <x:row r="45" ht="21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</x:row>
    <x:row r="46" ht="21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</x:row>
    <x:row r="47" ht="21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</x:row>
    <x:row r="48" ht="21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</x:row>
    <x:row r="49" ht="21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</x:row>
    <x:row r="50" ht="21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</x:row>
    <x:row r="51" ht="21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</x:row>
    <x:row r="52" ht="21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</x:row>
  </x:sheetData>
  <x:conditionalFormatting sqref="M13:M42">
    <x:cfRule type="cellIs" dxfId="0" priority="1" operator="greaterThan">
      <x:formula>0</x:formula>
    </x:cfRule>
  </x:conditionalFormatting>
  <x:pageMargins left="0.7" right="0.7" top="0.75" bottom="0.75" header="0.3" footer="0.3"/>
</x:worksheet>
</file>